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D:\Сесии с Клауд\Мама работа\услуги деньги\"/>
    </mc:Choice>
  </mc:AlternateContent>
  <xr:revisionPtr revIDLastSave="0" documentId="8_{78C32FBD-D948-406C-A9FA-BE97074ED5BA}" xr6:coauthVersionLast="45" xr6:coauthVersionMax="45" xr10:uidLastSave="{00000000-0000-0000-0000-000000000000}"/>
  <bookViews>
    <workbookView xWindow="0" yWindow="0" windowWidth="23040" windowHeight="12240" tabRatio="160" firstSheet="1" activeTab="1"/>
  </bookViews>
  <sheets>
    <sheet name="Бесплатники" sheetId="1" r:id="rId1"/>
    <sheet name="Услуги-Деньги" sheetId="2" r:id="rId2"/>
    <sheet name="Частичники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O4" i="1" l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C27" i="1"/>
  <c r="D27" i="1"/>
  <c r="E27" i="1"/>
  <c r="F27" i="1"/>
  <c r="O27" i="1" s="1"/>
  <c r="O28" i="1" s="1"/>
  <c r="G27" i="1"/>
  <c r="H27" i="1"/>
  <c r="I27" i="1"/>
  <c r="J27" i="1"/>
  <c r="K27" i="1"/>
  <c r="L27" i="1"/>
  <c r="M27" i="1"/>
  <c r="N27" i="1"/>
  <c r="C6" i="2"/>
  <c r="D6" i="2"/>
  <c r="G6" i="2"/>
  <c r="F7" i="2"/>
  <c r="G7" i="2"/>
  <c r="D7" i="2" s="1"/>
  <c r="D8" i="2"/>
  <c r="F8" i="2"/>
  <c r="G8" i="2"/>
  <c r="F9" i="2"/>
  <c r="G9" i="2" s="1"/>
  <c r="D9" i="2" s="1"/>
  <c r="F10" i="2"/>
  <c r="G10" i="2" s="1"/>
  <c r="D10" i="2" s="1"/>
  <c r="F11" i="2"/>
  <c r="G11" i="2"/>
  <c r="D11" i="2" s="1"/>
  <c r="G12" i="2"/>
  <c r="F13" i="2"/>
  <c r="G13" i="2"/>
  <c r="D13" i="2" s="1"/>
  <c r="D14" i="2"/>
  <c r="F14" i="2"/>
  <c r="G14" i="2"/>
  <c r="G15" i="2"/>
  <c r="D15" i="2" s="1"/>
  <c r="G16" i="2"/>
  <c r="D16" i="2" s="1"/>
  <c r="G17" i="2"/>
  <c r="D17" i="2" s="1"/>
  <c r="G18" i="2"/>
  <c r="D18" i="2" s="1"/>
  <c r="G19" i="2"/>
  <c r="D19" i="2" s="1"/>
  <c r="F20" i="2"/>
  <c r="G20" i="2"/>
  <c r="D20" i="2" s="1"/>
  <c r="D21" i="2"/>
  <c r="F21" i="2"/>
  <c r="G21" i="2"/>
  <c r="C22" i="2"/>
  <c r="C78" i="2" s="1"/>
  <c r="F24" i="2"/>
  <c r="G24" i="2" s="1"/>
  <c r="C25" i="2"/>
  <c r="F25" i="2"/>
  <c r="F27" i="2"/>
  <c r="G27" i="2"/>
  <c r="G28" i="2" s="1"/>
  <c r="C28" i="2"/>
  <c r="E28" i="2"/>
  <c r="F28" i="2"/>
  <c r="F30" i="2"/>
  <c r="G30" i="2"/>
  <c r="G31" i="2" s="1"/>
  <c r="C31" i="2"/>
  <c r="E31" i="2"/>
  <c r="F31" i="2"/>
  <c r="H78" i="2"/>
  <c r="I78" i="2"/>
  <c r="J78" i="2"/>
  <c r="O4" i="3"/>
  <c r="O5" i="3"/>
  <c r="O9" i="3" s="1"/>
  <c r="O10" i="3" s="1"/>
  <c r="O6" i="3"/>
  <c r="O7" i="3"/>
  <c r="C9" i="3"/>
  <c r="D9" i="3"/>
  <c r="E9" i="3"/>
  <c r="F9" i="3"/>
  <c r="G9" i="3"/>
  <c r="H9" i="3"/>
  <c r="I9" i="3"/>
  <c r="J9" i="3"/>
  <c r="K9" i="3"/>
  <c r="L9" i="3"/>
  <c r="M9" i="3"/>
  <c r="N9" i="3"/>
  <c r="O13" i="3"/>
  <c r="O14" i="3"/>
  <c r="O15" i="3"/>
  <c r="O16" i="3"/>
  <c r="C18" i="3"/>
  <c r="D18" i="3"/>
  <c r="O18" i="3" s="1"/>
  <c r="O19" i="3" s="1"/>
  <c r="E18" i="3"/>
  <c r="F18" i="3"/>
  <c r="G18" i="3"/>
  <c r="H18" i="3"/>
  <c r="I18" i="3"/>
  <c r="J18" i="3"/>
  <c r="K18" i="3"/>
  <c r="L18" i="3"/>
  <c r="M18" i="3"/>
  <c r="N18" i="3"/>
  <c r="D22" i="2" l="1"/>
  <c r="G22" i="2"/>
  <c r="G25" i="2"/>
  <c r="D25" i="2" s="1"/>
  <c r="D24" i="2"/>
  <c r="D30" i="2"/>
  <c r="D31" i="2" s="1"/>
  <c r="D27" i="2"/>
  <c r="F22" i="2"/>
  <c r="F78" i="2" s="1"/>
  <c r="G78" i="2" l="1"/>
  <c r="D28" i="2"/>
  <c r="D78" i="2" s="1"/>
</calcChain>
</file>

<file path=xl/sharedStrings.xml><?xml version="1.0" encoding="utf-8"?>
<sst xmlns="http://schemas.openxmlformats.org/spreadsheetml/2006/main" count="187" uniqueCount="134">
  <si>
    <t>Реестр учета оказания социальных услуг отделением социального обслуживания на дому № 9 за апрель 2024г.</t>
  </si>
  <si>
    <t>ФИО
получателя услуг</t>
  </si>
  <si>
    <t>Социально-бытовые услуги Соц.- псих. услуги Соц.-правов. усл.</t>
  </si>
  <si>
    <t>2. Покупка за счет средств получателей социальных услуг и доставка продуктов питания</t>
  </si>
  <si>
    <t>3. Покупка за счет средств получателей социальных услуг и доставка промышленных товаров первой необходимости</t>
  </si>
  <si>
    <t>4. Покупка за счет средств получателей социальных услуг и доставка средств санитарии и гигиены, , лекарственных препаратов, назначенных по медицинским показаниям</t>
  </si>
  <si>
    <t>5. Покупка за счет средств получателей социальных услуг и доставка книг, газет, журналов</t>
  </si>
  <si>
    <t>6. Помощь в приготовлении пищи</t>
  </si>
  <si>
    <t>7. Обеспечение водой ( в жилых помещениях без водоснабжения)</t>
  </si>
  <si>
    <t>8. Оплата за счет средств получателей социальных услуг жилищно-коммунальных услуг и услуг связи</t>
  </si>
  <si>
    <t>14. Уборка жилых помк ещений</t>
  </si>
  <si>
    <t>15 . Отправка за счет средств получателей социальных услуг почтовой корреспонденции</t>
  </si>
  <si>
    <t>Оказание помощи в оформлении и восстановлении документов получателей социальных услуг</t>
  </si>
  <si>
    <t>Оказание психологической помощи и поддержка, в том числе гражданам, осуществляющим уход на дому за тяжелобольными получателями социальных услуг</t>
  </si>
  <si>
    <t>Итого услуг</t>
  </si>
  <si>
    <t>Алиева Елена Вадимовна, 18.02.1966</t>
  </si>
  <si>
    <t>Володина Надежда Николаевна, 12.10.1960</t>
  </si>
  <si>
    <t>Геворкян Ромела Максимовна, 27.07.1955</t>
  </si>
  <si>
    <t>Дружинина Галина Федоровна, 30.06.1952</t>
  </si>
  <si>
    <t>Керечанин Владимир Васильевич</t>
  </si>
  <si>
    <t>Керечанина Людмила Васильевна, 19.01.1958</t>
  </si>
  <si>
    <t>Компанеева Галина Владимировна, 12.07.1954</t>
  </si>
  <si>
    <t>Крупенина Марина Саксановна, 09.03.1961</t>
  </si>
  <si>
    <t>Куранова Светлана Николаевна, 07.02.1936</t>
  </si>
  <si>
    <t>Пагнаева Тамара Ивановна, 26.08.1944</t>
  </si>
  <si>
    <t>Патокина Тамара Викторовна, 07.09.1951</t>
  </si>
  <si>
    <t>Печерская Татьяна Александровна, 26.12.1962</t>
  </si>
  <si>
    <t>Прошина Наталья Николаевна, 13.10.1952</t>
  </si>
  <si>
    <t>Рыжикова Надежда Владимировна, 03.08.1957</t>
  </si>
  <si>
    <t>Селиверстова Галина Владимировна, 24.09.1953</t>
  </si>
  <si>
    <t>Сидорова Светлана Васильевна, 15.03.1945</t>
  </si>
  <si>
    <t>Степанова Виктория Викторовна, 04.04.1964</t>
  </si>
  <si>
    <t>Суздальцева Наталья Сергеевна</t>
  </si>
  <si>
    <t>Федорчак Вера Николаевна</t>
  </si>
  <si>
    <t>Фесенко Ирина Александровна</t>
  </si>
  <si>
    <t>Хребтищева Ирина Владимировна, 14.03.1959</t>
  </si>
  <si>
    <t>Яшина Елена Юрьевна</t>
  </si>
  <si>
    <t>Зав. отделением № 9 __________________/Шершнева Т. И. /</t>
  </si>
  <si>
    <r>
      <t>За</t>
    </r>
    <r>
      <rPr>
        <sz val="22"/>
        <color indexed="8"/>
        <rFont val="Times New Roman"/>
        <family val="1"/>
        <charset val="204"/>
      </rPr>
      <t xml:space="preserve"> </t>
    </r>
    <r>
      <rPr>
        <b/>
        <sz val="22"/>
        <color indexed="8"/>
        <rFont val="Times New Roman"/>
        <family val="1"/>
        <charset val="204"/>
      </rPr>
      <t>январь 2026</t>
    </r>
    <r>
      <rPr>
        <sz val="22"/>
        <color indexed="8"/>
        <rFont val="Times New Roman"/>
        <family val="1"/>
        <charset val="204"/>
      </rPr>
      <t xml:space="preserve"> </t>
    </r>
    <r>
      <rPr>
        <sz val="16"/>
        <color indexed="8"/>
        <rFont val="Times New Roman"/>
        <family val="1"/>
        <charset val="204"/>
      </rPr>
      <t>года в отделении №9</t>
    </r>
  </si>
  <si>
    <t>№ п/п</t>
  </si>
  <si>
    <t xml:space="preserve">Наименование государственной услуги </t>
  </si>
  <si>
    <t>Количество услуг</t>
  </si>
  <si>
    <t xml:space="preserve">Оплачено по договору </t>
  </si>
  <si>
    <t>Стоимость по тарифу</t>
  </si>
  <si>
    <t>Количество услуг полная оплата</t>
  </si>
  <si>
    <t>Оплачено по договору (полная оплата)</t>
  </si>
  <si>
    <t>Количество услуг (частичная оплата)</t>
  </si>
  <si>
    <t>Оплачено по договору (частичная оплата)</t>
  </si>
  <si>
    <t>Количество услуг (бесплатно)</t>
  </si>
  <si>
    <t>3(1)</t>
  </si>
  <si>
    <t>6(2)</t>
  </si>
  <si>
    <t>7(3)</t>
  </si>
  <si>
    <t>8(4)</t>
  </si>
  <si>
    <t>9(5)</t>
  </si>
  <si>
    <t>10(6)</t>
  </si>
  <si>
    <r>
      <t xml:space="preserve">Предоставление социального обслуживания в форме на дому                     </t>
    </r>
    <r>
      <rPr>
        <sz val="14"/>
        <rFont val="Times New Roman"/>
        <family val="1"/>
        <charset val="204"/>
      </rPr>
      <t xml:space="preserve">                                                                                                                                   включая оказание социально-бытовых услуг,социально-медицинских услуг,социально-психологических услуг,социально-педагогических услуг,социально-трудовых услуг, социально-правовых услуг, услуг в целях повышения коммуникативного потенциала получателей социальных услуг, имеющих ограничения жизнедеятельност, в том числе детей-инвалидов, срочных социальных услуг</t>
    </r>
  </si>
  <si>
    <t>Социально-бытовые услуги</t>
  </si>
  <si>
    <t>1</t>
  </si>
  <si>
    <t>Оказание социально-бытовых услуг индивидуального обслуживающего и гигиенического характера</t>
  </si>
  <si>
    <t>2</t>
  </si>
  <si>
    <r>
      <t xml:space="preserve">Покупка за счет средств получателей социальных услуг и доставка </t>
    </r>
    <r>
      <rPr>
        <b/>
        <sz val="13"/>
        <color indexed="8"/>
        <rFont val="Times New Roman"/>
        <family val="1"/>
        <charset val="204"/>
      </rPr>
      <t xml:space="preserve">продуктов </t>
    </r>
    <r>
      <rPr>
        <sz val="10"/>
        <color indexed="8"/>
        <rFont val="Times New Roman"/>
        <family val="1"/>
        <charset val="204"/>
      </rPr>
      <t>питания</t>
    </r>
  </si>
  <si>
    <t>3</t>
  </si>
  <si>
    <r>
      <t xml:space="preserve">Покупка за счет средств получателей социальных услуг и доставка </t>
    </r>
    <r>
      <rPr>
        <b/>
        <sz val="10"/>
        <color indexed="8"/>
        <rFont val="Times New Roman"/>
        <family val="1"/>
        <charset val="204"/>
      </rPr>
      <t>промышленных</t>
    </r>
    <r>
      <rPr>
        <sz val="10"/>
        <color indexed="8"/>
        <rFont val="Times New Roman"/>
        <family val="1"/>
        <charset val="204"/>
      </rPr>
      <t xml:space="preserve"> товаров первой необходимости</t>
    </r>
  </si>
  <si>
    <t>4</t>
  </si>
  <si>
    <r>
      <t>Покупка за счет средств получателей социальных услуг и доставка средств санитарии и гигиены, лекарственных препаратов, назначенных по</t>
    </r>
    <r>
      <rPr>
        <b/>
        <sz val="13"/>
        <color indexed="8"/>
        <rFont val="Times New Roman"/>
        <family val="1"/>
        <charset val="204"/>
      </rPr>
      <t xml:space="preserve"> </t>
    </r>
    <r>
      <rPr>
        <b/>
        <sz val="12"/>
        <color indexed="8"/>
        <rFont val="Times New Roman"/>
        <family val="1"/>
        <charset val="204"/>
      </rPr>
      <t>медицинским</t>
    </r>
    <r>
      <rPr>
        <sz val="10"/>
        <color indexed="8"/>
        <rFont val="Times New Roman"/>
        <family val="1"/>
        <charset val="204"/>
      </rPr>
      <t xml:space="preserve"> показаниям</t>
    </r>
  </si>
  <si>
    <t>5</t>
  </si>
  <si>
    <r>
      <t xml:space="preserve">Покупка за счет средств получателей социальных услуг и доставка </t>
    </r>
    <r>
      <rPr>
        <b/>
        <sz val="10"/>
        <color indexed="8"/>
        <rFont val="Times New Roman"/>
        <family val="1"/>
        <charset val="204"/>
      </rPr>
      <t>книг, газет, журналов</t>
    </r>
  </si>
  <si>
    <t>6</t>
  </si>
  <si>
    <r>
      <t xml:space="preserve">Помощь в приготовлении </t>
    </r>
    <r>
      <rPr>
        <b/>
        <sz val="13"/>
        <color indexed="8"/>
        <rFont val="Times New Roman"/>
        <family val="1"/>
        <charset val="204"/>
      </rPr>
      <t>пищи</t>
    </r>
  </si>
  <si>
    <t>7</t>
  </si>
  <si>
    <t>Помощь в приеме пищи (кормление)</t>
  </si>
  <si>
    <r>
      <t xml:space="preserve">Обеспечение </t>
    </r>
    <r>
      <rPr>
        <b/>
        <sz val="10"/>
        <color indexed="8"/>
        <rFont val="Times New Roman"/>
        <family val="1"/>
        <charset val="204"/>
      </rPr>
      <t>водой</t>
    </r>
    <r>
      <rPr>
        <sz val="10"/>
        <color indexed="8"/>
        <rFont val="Times New Roman"/>
        <family val="1"/>
        <charset val="204"/>
      </rPr>
      <t xml:space="preserve"> (в жилых помещениях без водоснабжении)</t>
    </r>
  </si>
  <si>
    <t>8</t>
  </si>
  <si>
    <r>
      <t>Оплата</t>
    </r>
    <r>
      <rPr>
        <sz val="10"/>
        <color indexed="8"/>
        <rFont val="Times New Roman"/>
        <family val="1"/>
        <charset val="204"/>
      </rPr>
      <t xml:space="preserve"> за счет средств получателей социальных услуг жилищно-коммунальных услуг и услуг связи</t>
    </r>
  </si>
  <si>
    <t>9</t>
  </si>
  <si>
    <t>Сдача за счет средств получателей социальных услуг вещей в стирку (химчистку, ремонт) и обратная их доставка</t>
  </si>
  <si>
    <t>10</t>
  </si>
  <si>
    <t>Топка печей (в жилых помещениях без центрального отопления)</t>
  </si>
  <si>
    <t>11</t>
  </si>
  <si>
    <t>Покупка за счет средств получателей социальных услуг топлива (в жилых помещениях без центрального отопления)</t>
  </si>
  <si>
    <t>Обеспечение водой (в жилых помещениях без водоснабжения)</t>
  </si>
  <si>
    <t>12</t>
  </si>
  <si>
    <t>Организация помощи в проведении ремонта жилых помещений</t>
  </si>
  <si>
    <t>13</t>
  </si>
  <si>
    <r>
      <t>Уборка</t>
    </r>
    <r>
      <rPr>
        <sz val="10"/>
        <color indexed="8"/>
        <rFont val="Times New Roman"/>
        <family val="1"/>
        <charset val="204"/>
      </rPr>
      <t xml:space="preserve"> жилых помещений</t>
    </r>
  </si>
  <si>
    <t>14</t>
  </si>
  <si>
    <r>
      <t>Отправка</t>
    </r>
    <r>
      <rPr>
        <sz val="10"/>
        <color indexed="8"/>
        <rFont val="Times New Roman"/>
        <family val="1"/>
        <charset val="204"/>
      </rPr>
      <t xml:space="preserve"> за счет средств получателей социальных услуг почтовой </t>
    </r>
    <r>
      <rPr>
        <b/>
        <sz val="10"/>
        <color indexed="8"/>
        <rFont val="Times New Roman"/>
        <family val="1"/>
        <charset val="204"/>
      </rPr>
      <t>корреспонденции</t>
    </r>
  </si>
  <si>
    <t>ИТОГО</t>
  </si>
  <si>
    <t>Социально-психологические услуги</t>
  </si>
  <si>
    <t>15</t>
  </si>
  <si>
    <r>
      <t xml:space="preserve">Оказание </t>
    </r>
    <r>
      <rPr>
        <b/>
        <sz val="10"/>
        <color indexed="8"/>
        <rFont val="Times New Roman"/>
        <family val="1"/>
        <charset val="204"/>
      </rPr>
      <t>психологической</t>
    </r>
    <r>
      <rPr>
        <sz val="10"/>
        <color indexed="8"/>
        <rFont val="Times New Roman"/>
        <family val="1"/>
        <charset val="204"/>
      </rPr>
      <t xml:space="preserve"> помощи и поддержка, в том числе гражданам, осуществляющим уход на дому за тяжелобольными получателями социальных услуг</t>
    </r>
  </si>
  <si>
    <t>Социально-педагогические услуги</t>
  </si>
  <si>
    <t>17</t>
  </si>
  <si>
    <t>Обучение родственников практическим навыкам общего ухода за тяжелобольными получателями социальных услуг, получателями социальных услуг, имеющими ограничения жизнедеятельности, в том числе за детьми-инвалидами</t>
  </si>
  <si>
    <t>Социально-правовые услуги</t>
  </si>
  <si>
    <t>16</t>
  </si>
  <si>
    <r>
      <t xml:space="preserve">Оказание помощи в </t>
    </r>
    <r>
      <rPr>
        <b/>
        <sz val="10"/>
        <color indexed="8"/>
        <rFont val="Times New Roman"/>
        <family val="1"/>
        <charset val="204"/>
      </rPr>
      <t xml:space="preserve">оформлении </t>
    </r>
    <r>
      <rPr>
        <sz val="10"/>
        <color indexed="8"/>
        <rFont val="Times New Roman"/>
        <family val="1"/>
        <charset val="204"/>
      </rPr>
      <t xml:space="preserve">и восстановлении </t>
    </r>
    <r>
      <rPr>
        <b/>
        <sz val="10"/>
        <color indexed="8"/>
        <rFont val="Times New Roman"/>
        <family val="1"/>
        <charset val="204"/>
      </rPr>
      <t xml:space="preserve">документов </t>
    </r>
    <r>
      <rPr>
        <sz val="10"/>
        <color indexed="8"/>
        <rFont val="Times New Roman"/>
        <family val="1"/>
        <charset val="204"/>
      </rPr>
      <t>получателей социальных услуг</t>
    </r>
  </si>
  <si>
    <t>Срочные услуги</t>
  </si>
  <si>
    <t>19</t>
  </si>
  <si>
    <t>Организация ритуальных услуг при отсутствии у умерших получателей социальных услуг (в форме стационарного социального обслуживания, при предоставлении социального обслуживания на дому) родственников или их нежелании заняться погребением</t>
  </si>
  <si>
    <r>
      <t>Предоставление социального обслуживания в полустационарной форме</t>
    </r>
    <r>
      <rPr>
        <sz val="14"/>
        <color indexed="8"/>
        <rFont val="Times New Roman"/>
        <family val="1"/>
        <charset val="204"/>
      </rPr>
      <t xml:space="preserve">                                                                                                                                                                                                              включая оказание социально-психологических услуг,социально-педагогических услуг,социально-трудовых услуг, социально-правовых услугах, услуг в целях повышения коммуникативного потенциала получателей социальных услуг, имеющих ограничения жизнедеятельности, срочных социальных услуг</t>
    </r>
  </si>
  <si>
    <t>Социально-психологическое консультирование, в том числе по вопросам внутрисемейных отношений</t>
  </si>
  <si>
    <t>Социально-педогагические услуги</t>
  </si>
  <si>
    <t>Организация досуга, проведение клубной и кружковой работы для формирования и развития позитивных интересов</t>
  </si>
  <si>
    <t>Оказание помощи в оформлении и восстановлении документов получателей социальных услуг;</t>
  </si>
  <si>
    <t>Оказание помощи в получении юридических услуг;</t>
  </si>
  <si>
    <t>Консультирование по социально-правовым вопросам;</t>
  </si>
  <si>
    <t>Оказание помощи в защите прав и законных интересов получателей социальных услуг в установленном законодательством порядке</t>
  </si>
  <si>
    <t>Услуги в целях повышения коммуникативного потенциала получателей социальных услуг, имеющих ограничения жизнедеятельности, в том числе детей-инвалидов</t>
  </si>
  <si>
    <t>Обучение инвалидов (детей-инвалидов) пользованию средствами ухода и техническими средствами реабилитации</t>
  </si>
  <si>
    <t>Обучение навыкам самообслуживания, поведения в быту и общественных местах, общения и контроля, направленных на развитие личности</t>
  </si>
  <si>
    <t>Оказание помощи в обучении навыкам компьютерной грамотности;</t>
  </si>
  <si>
    <t xml:space="preserve">Обеспечение бесплатным горячим питанием или наборами продуктов   </t>
  </si>
  <si>
    <t>Обеспечение одеждой, обувью и другими предметами первой необходимости</t>
  </si>
  <si>
    <t>Содействие в получении временного жилого помещения</t>
  </si>
  <si>
    <t>Содействие в получении юридической помощи в целях защиты прав и законных интересов получателей социальных услуг</t>
  </si>
  <si>
    <t>Содействие в получении экстренной психологической помощи с привлечением к этой работе психологов и священнослужителей</t>
  </si>
  <si>
    <r>
      <t>Предоставление социального обслуживания в стационарной форме</t>
    </r>
    <r>
      <rPr>
        <sz val="14"/>
        <color indexed="8"/>
        <rFont val="Times New Roman"/>
        <family val="1"/>
        <charset val="204"/>
      </rPr>
      <t xml:space="preserve">                                                                                                                                                                                                                       включая оказание социально-психологических услуг,социально-педагогических услуг,социально-трудовых услуг, социально-правовых услугах, услуг в целях повышения коммуникативного потенциала получателей социальных услуг, имеющих ограничения жизнедеятельности</t>
    </r>
  </si>
  <si>
    <t>Предоставление площади жилых помещений согласно утвержденным нормативам, а также помещений для предоставления всех видов социальных услуг</t>
  </si>
  <si>
    <t>Предоставление банно-прачечных услуг</t>
  </si>
  <si>
    <t>Обеспечение питанием согласно утвержденным нормативам</t>
  </si>
  <si>
    <t>Обеспечение мягким инвентарем согласно утвержденным нормативам</t>
  </si>
  <si>
    <t xml:space="preserve">Обеспечение книгами, журналами, газетами, настольными играми </t>
  </si>
  <si>
    <t>Социально-медицинские услуги</t>
  </si>
  <si>
    <t>Выполнение процедур, связанных с наблюдением за состоянием  здоровья получателей социальных услуг (измерение температуры тела, артериального давления, контроль за приемом лекарств и др.)</t>
  </si>
  <si>
    <t>Проведение оздоровительных мероприятий</t>
  </si>
  <si>
    <t>Систематическое наблюдение за получателями социальных услуг в целях выявления отклонений в состоянии их здоровья</t>
  </si>
  <si>
    <t>ИТОГО ПО ФИЛИАЛУ</t>
  </si>
  <si>
    <t>Реестр учета оказания социальных услуг отделением социального обслуживания на дому № 9 за   июль 2024г.</t>
  </si>
  <si>
    <t>Илясова Наталья Николаевна</t>
  </si>
  <si>
    <t>Кондракова Л.А.</t>
  </si>
  <si>
    <t>Котлова В.Я.</t>
  </si>
  <si>
    <t>Тихонова Валентина Анатольевна</t>
  </si>
  <si>
    <t>Реестр учета оказания социальных услуг отделением социального обслуживания на дому № 9 за июнь 2024г.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</si>
</sst>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7">
    <font>
      <sz val="11"/>
      <color indexed="8"/>
      <name val="Calibri"/>
      <family val="2"/>
      <charset val="204"/>
    </font>
    <font>
      <sz val="10"/>
      <name val="Arial Cyr"/>
      <family val="2"/>
      <charset val="204"/>
    </font>
    <font>
      <sz val="10"/>
      <name val="Times New Roman CYR"/>
      <family val="1"/>
      <charset val="204"/>
    </font>
    <font>
      <sz val="10"/>
      <color indexed="8"/>
      <name val="Arial"/>
      <family val="2"/>
      <charset val="204"/>
    </font>
    <font>
      <b/>
      <sz val="14"/>
      <name val="'Times New Roman'"/>
      <family val="1"/>
      <charset val="204"/>
    </font>
    <font>
      <sz val="8"/>
      <color indexed="8"/>
      <name val="Arial"/>
      <family val="2"/>
      <charset val="204"/>
    </font>
    <font>
      <b/>
      <sz val="9"/>
      <name val="'Times New Roman'"/>
      <family val="1"/>
      <charset val="204"/>
    </font>
    <font>
      <b/>
      <sz val="8"/>
      <name val="'Times New Roman'"/>
      <family val="1"/>
      <charset val="204"/>
    </font>
    <font>
      <sz val="12"/>
      <name val="'Times New Roman'"/>
      <family val="1"/>
      <charset val="204"/>
    </font>
    <font>
      <sz val="6"/>
      <name val="Arial"/>
      <family val="2"/>
      <charset val="204"/>
    </font>
    <font>
      <sz val="6"/>
      <name val="Times New Roman"/>
      <family val="1"/>
      <charset val="204"/>
    </font>
    <font>
      <sz val="6"/>
      <name val="'Times New Roman'"/>
      <family val="1"/>
      <charset val="204"/>
    </font>
    <font>
      <b/>
      <sz val="6"/>
      <name val="'Times New Roman'"/>
      <family val="1"/>
      <charset val="204"/>
    </font>
    <font>
      <sz val="6"/>
      <color indexed="8"/>
      <name val="Arial"/>
      <family val="2"/>
      <charset val="204"/>
    </font>
    <font>
      <sz val="9"/>
      <name val="'Times New Roman'"/>
      <family val="1"/>
      <charset val="204"/>
    </font>
    <font>
      <sz val="8"/>
      <color indexed="8"/>
      <name val="PT Astra Serif"/>
      <family val="1"/>
      <charset val="204"/>
    </font>
    <font>
      <b/>
      <sz val="12"/>
      <name val="'Times New Roman'"/>
      <family val="1"/>
      <charset val="204"/>
    </font>
    <font>
      <sz val="8"/>
      <name val="Times New Roman"/>
      <family val="1"/>
      <charset val="204"/>
    </font>
    <font>
      <sz val="8"/>
      <name val="'Times New Roman'"/>
      <family val="1"/>
      <charset val="204"/>
    </font>
    <font>
      <sz val="9"/>
      <color indexed="8"/>
      <name val="Arial"/>
      <family val="2"/>
      <charset val="204"/>
    </font>
    <font>
      <sz val="12"/>
      <color indexed="8"/>
      <name val="Times New Roman"/>
      <family val="1"/>
      <charset val="204"/>
    </font>
    <font>
      <sz val="18"/>
      <color indexed="8"/>
      <name val="Times New Roman"/>
      <family val="1"/>
      <charset val="204"/>
    </font>
    <font>
      <sz val="22"/>
      <color indexed="8"/>
      <name val="Times New Roman"/>
      <family val="1"/>
      <charset val="204"/>
    </font>
    <font>
      <b/>
      <sz val="22"/>
      <color indexed="8"/>
      <name val="Times New Roman"/>
      <family val="1"/>
      <charset val="204"/>
    </font>
    <font>
      <sz val="16"/>
      <color indexed="8"/>
      <name val="Times New Roman"/>
      <family val="1"/>
      <charset val="204"/>
    </font>
    <font>
      <b/>
      <sz val="14"/>
      <color indexed="8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3"/>
      <color indexed="8"/>
      <name val="Times New Roman"/>
      <family val="1"/>
      <charset val="204"/>
    </font>
    <font>
      <sz val="12"/>
      <color indexed="8"/>
      <name val="Times New Roman"/>
      <family val="1"/>
      <charset val="1"/>
    </font>
    <font>
      <b/>
      <sz val="10"/>
      <color indexed="8"/>
      <name val="Times New Roman"/>
      <family val="1"/>
      <charset val="204"/>
    </font>
    <font>
      <b/>
      <sz val="12"/>
      <color indexed="8"/>
      <name val="Times New Roman"/>
      <family val="1"/>
      <charset val="1"/>
    </font>
    <font>
      <sz val="14"/>
      <color indexed="10"/>
      <name val="Times New Roman"/>
      <family val="1"/>
      <charset val="204"/>
    </font>
    <font>
      <sz val="14"/>
      <color indexed="8"/>
      <name val="Times New Roman"/>
      <family val="1"/>
      <charset val="204"/>
    </font>
    <font>
      <b/>
      <sz val="8"/>
      <name val="Times New Roman"/>
      <family val="1"/>
      <charset val="204"/>
    </font>
  </fonts>
  <fills count="13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9"/>
        <bgColor indexed="26"/>
      </patternFill>
    </fill>
    <fill>
      <patternFill patternType="solid">
        <fgColor indexed="47"/>
        <bgColor indexed="22"/>
      </patternFill>
    </fill>
    <fill>
      <patternFill patternType="solid">
        <fgColor indexed="29"/>
        <bgColor indexed="14"/>
      </patternFill>
    </fill>
    <fill>
      <patternFill patternType="solid">
        <fgColor indexed="45"/>
        <bgColor indexed="46"/>
      </patternFill>
    </fill>
    <fill>
      <patternFill patternType="solid">
        <fgColor indexed="43"/>
        <bgColor indexed="26"/>
      </patternFill>
    </fill>
    <fill>
      <patternFill patternType="solid">
        <fgColor indexed="42"/>
        <bgColor indexed="50"/>
      </patternFill>
    </fill>
    <fill>
      <patternFill patternType="solid">
        <fgColor indexed="14"/>
        <bgColor indexed="29"/>
      </patternFill>
    </fill>
    <fill>
      <patternFill patternType="solid">
        <fgColor indexed="10"/>
        <bgColor indexed="53"/>
      </patternFill>
    </fill>
    <fill>
      <patternFill patternType="solid">
        <fgColor indexed="53"/>
        <bgColor indexed="10"/>
      </patternFill>
    </fill>
    <fill>
      <patternFill patternType="solid">
        <fgColor indexed="30"/>
        <bgColor indexed="21"/>
      </patternFill>
    </fill>
  </fills>
  <borders count="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0" fontId="3" fillId="0" borderId="0"/>
    <xf numFmtId="0" fontId="3" fillId="0" borderId="0"/>
  </cellStyleXfs>
  <cellXfs count="104">
    <xf numFmtId="0" fontId="0" fillId="0" borderId="0" xfId="0"/>
    <xf numFmtId="0" fontId="3" fillId="0" borderId="0" xfId="3" applyFont="1" applyFill="1"/>
    <xf numFmtId="0" fontId="3" fillId="0" borderId="0" xfId="4" applyFill="1"/>
    <xf numFmtId="0" fontId="4" fillId="0" borderId="0" xfId="3" applyFont="1" applyFill="1"/>
    <xf numFmtId="0" fontId="5" fillId="0" borderId="0" xfId="3" applyFont="1" applyFill="1"/>
    <xf numFmtId="0" fontId="9" fillId="0" borderId="1" xfId="3" applyFont="1" applyFill="1" applyBorder="1" applyAlignment="1">
      <alignment horizontal="left" textRotation="90" wrapText="1"/>
    </xf>
    <xf numFmtId="0" fontId="10" fillId="0" borderId="1" xfId="3" applyFont="1" applyFill="1" applyBorder="1" applyAlignment="1">
      <alignment horizontal="left" textRotation="90" wrapText="1"/>
    </xf>
    <xf numFmtId="0" fontId="11" fillId="0" borderId="1" xfId="3" applyFont="1" applyFill="1" applyBorder="1" applyAlignment="1">
      <alignment horizontal="left" textRotation="90" wrapText="1"/>
    </xf>
    <xf numFmtId="0" fontId="12" fillId="0" borderId="1" xfId="3" applyFont="1" applyFill="1" applyBorder="1" applyAlignment="1">
      <alignment horizontal="left" vertical="top" wrapText="1"/>
    </xf>
    <xf numFmtId="0" fontId="13" fillId="0" borderId="0" xfId="3" applyFont="1" applyFill="1"/>
    <xf numFmtId="0" fontId="14" fillId="0" borderId="1" xfId="3" applyFont="1" applyFill="1" applyBorder="1" applyAlignment="1">
      <alignment horizontal="center" wrapText="1"/>
    </xf>
    <xf numFmtId="0" fontId="15" fillId="0" borderId="2" xfId="4" applyFont="1" applyFill="1" applyBorder="1" applyAlignment="1">
      <alignment vertical="center" wrapText="1"/>
    </xf>
    <xf numFmtId="0" fontId="16" fillId="0" borderId="1" xfId="3" applyFont="1" applyFill="1" applyBorder="1" applyAlignment="1">
      <alignment horizontal="left" vertical="top" wrapText="1"/>
    </xf>
    <xf numFmtId="0" fontId="17" fillId="0" borderId="1" xfId="3" applyFont="1" applyFill="1" applyBorder="1" applyAlignment="1">
      <alignment horizontal="left"/>
    </xf>
    <xf numFmtId="0" fontId="18" fillId="0" borderId="1" xfId="3" applyFont="1" applyFill="1" applyBorder="1" applyAlignment="1">
      <alignment horizontal="left" wrapText="1"/>
    </xf>
    <xf numFmtId="0" fontId="14" fillId="0" borderId="3" xfId="3" applyFont="1" applyFill="1" applyBorder="1" applyAlignment="1">
      <alignment horizontal="left" wrapText="1"/>
    </xf>
    <xf numFmtId="0" fontId="6" fillId="0" borderId="0" xfId="3" applyFont="1" applyFill="1" applyAlignment="1">
      <alignment horizontal="left"/>
    </xf>
    <xf numFmtId="0" fontId="19" fillId="0" borderId="0" xfId="3" applyFont="1" applyFill="1"/>
    <xf numFmtId="0" fontId="20" fillId="0" borderId="0" xfId="0" applyFont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Fill="1" applyAlignment="1">
      <alignment vertical="center"/>
    </xf>
    <xf numFmtId="0" fontId="20" fillId="0" borderId="0" xfId="0" applyFont="1" applyFill="1" applyAlignment="1">
      <alignment horizontal="center" vertical="center"/>
    </xf>
    <xf numFmtId="0" fontId="21" fillId="2" borderId="0" xfId="0" applyFont="1" applyFill="1" applyAlignment="1">
      <alignment vertical="center"/>
    </xf>
    <xf numFmtId="0" fontId="22" fillId="0" borderId="0" xfId="0" applyFont="1" applyFill="1" applyAlignment="1">
      <alignment vertical="center"/>
    </xf>
    <xf numFmtId="0" fontId="20" fillId="3" borderId="0" xfId="0" applyFont="1" applyFill="1" applyAlignment="1">
      <alignment horizontal="center" vertical="center"/>
    </xf>
    <xf numFmtId="0" fontId="0" fillId="3" borderId="0" xfId="0" applyFill="1"/>
    <xf numFmtId="0" fontId="25" fillId="0" borderId="1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left" vertical="center" wrapText="1"/>
    </xf>
    <xf numFmtId="0" fontId="26" fillId="0" borderId="1" xfId="0" applyFont="1" applyFill="1" applyBorder="1" applyAlignment="1">
      <alignment horizontal="center" vertical="center" wrapText="1"/>
    </xf>
    <xf numFmtId="1" fontId="25" fillId="0" borderId="2" xfId="0" applyNumberFormat="1" applyFont="1" applyBorder="1" applyAlignment="1">
      <alignment horizontal="center" vertical="center"/>
    </xf>
    <xf numFmtId="1" fontId="25" fillId="0" borderId="2" xfId="0" applyNumberFormat="1" applyFont="1" applyFill="1" applyBorder="1" applyAlignment="1">
      <alignment horizontal="center" vertical="center"/>
    </xf>
    <xf numFmtId="1" fontId="25" fillId="0" borderId="4" xfId="0" applyNumberFormat="1" applyFont="1" applyFill="1" applyBorder="1" applyAlignment="1">
      <alignment horizontal="center" vertical="center"/>
    </xf>
    <xf numFmtId="3" fontId="26" fillId="0" borderId="1" xfId="0" applyNumberFormat="1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center" vertical="center"/>
    </xf>
    <xf numFmtId="0" fontId="20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49" fontId="20" fillId="0" borderId="1" xfId="0" applyNumberFormat="1" applyFont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 wrapText="1"/>
    </xf>
    <xf numFmtId="3" fontId="20" fillId="0" borderId="1" xfId="0" applyNumberFormat="1" applyFont="1" applyFill="1" applyBorder="1" applyAlignment="1">
      <alignment horizontal="center" vertical="center" wrapText="1"/>
    </xf>
    <xf numFmtId="0" fontId="20" fillId="0" borderId="1" xfId="0" applyFont="1" applyFill="1" applyBorder="1" applyAlignment="1">
      <alignment horizontal="center" vertical="center" wrapText="1"/>
    </xf>
    <xf numFmtId="0" fontId="20" fillId="5" borderId="1" xfId="0" applyFont="1" applyFill="1" applyBorder="1" applyAlignment="1">
      <alignment horizontal="center" vertical="center" wrapText="1"/>
    </xf>
    <xf numFmtId="3" fontId="20" fillId="6" borderId="1" xfId="0" applyNumberFormat="1" applyFont="1" applyFill="1" applyBorder="1" applyAlignment="1">
      <alignment horizontal="center" vertical="center" wrapText="1"/>
    </xf>
    <xf numFmtId="0" fontId="20" fillId="6" borderId="1" xfId="0" applyFont="1" applyFill="1" applyBorder="1" applyAlignment="1">
      <alignment horizontal="center" vertical="center"/>
    </xf>
    <xf numFmtId="0" fontId="31" fillId="7" borderId="1" xfId="0" applyFont="1" applyFill="1" applyBorder="1" applyAlignment="1">
      <alignment horizontal="center"/>
    </xf>
    <xf numFmtId="0" fontId="31" fillId="8" borderId="1" xfId="0" applyFont="1" applyFill="1" applyBorder="1" applyAlignment="1">
      <alignment horizontal="center"/>
    </xf>
    <xf numFmtId="0" fontId="31" fillId="6" borderId="1" xfId="0" applyFont="1" applyFill="1" applyBorder="1" applyAlignment="1">
      <alignment horizontal="center"/>
    </xf>
    <xf numFmtId="3" fontId="20" fillId="0" borderId="1" xfId="0" applyNumberFormat="1" applyFont="1" applyBorder="1" applyAlignment="1">
      <alignment horizontal="center" vertical="center" wrapText="1"/>
    </xf>
    <xf numFmtId="0" fontId="31" fillId="0" borderId="1" xfId="0" applyFont="1" applyBorder="1" applyAlignment="1">
      <alignment horizontal="center"/>
    </xf>
    <xf numFmtId="0" fontId="32" fillId="0" borderId="1" xfId="0" applyFont="1" applyBorder="1" applyAlignment="1">
      <alignment horizontal="center" vertical="center" wrapText="1"/>
    </xf>
    <xf numFmtId="49" fontId="20" fillId="2" borderId="1" xfId="0" applyNumberFormat="1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center" vertical="center" wrapText="1"/>
    </xf>
    <xf numFmtId="3" fontId="20" fillId="2" borderId="1" xfId="0" applyNumberFormat="1" applyFont="1" applyFill="1" applyBorder="1" applyAlignment="1">
      <alignment horizontal="center" vertical="center" wrapText="1"/>
    </xf>
    <xf numFmtId="49" fontId="26" fillId="0" borderId="1" xfId="0" applyNumberFormat="1" applyFont="1" applyBorder="1" applyAlignment="1">
      <alignment horizontal="center" vertical="center" wrapText="1"/>
    </xf>
    <xf numFmtId="3" fontId="26" fillId="0" borderId="1" xfId="0" applyNumberFormat="1" applyFont="1" applyFill="1" applyBorder="1" applyAlignment="1">
      <alignment horizontal="center" vertical="center" wrapText="1"/>
    </xf>
    <xf numFmtId="0" fontId="31" fillId="0" borderId="1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0" fontId="20" fillId="9" borderId="1" xfId="0" applyFont="1" applyFill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 wrapText="1"/>
    </xf>
    <xf numFmtId="0" fontId="33" fillId="0" borderId="1" xfId="0" applyFont="1" applyFill="1" applyBorder="1" applyAlignment="1">
      <alignment horizontal="center" vertical="center" wrapText="1"/>
    </xf>
    <xf numFmtId="0" fontId="26" fillId="2" borderId="1" xfId="0" applyFont="1" applyFill="1" applyBorder="1" applyAlignment="1">
      <alignment vertical="center" wrapText="1"/>
    </xf>
    <xf numFmtId="0" fontId="26" fillId="0" borderId="1" xfId="0" applyFont="1" applyFill="1" applyBorder="1" applyAlignment="1">
      <alignment vertical="center" wrapText="1"/>
    </xf>
    <xf numFmtId="3" fontId="26" fillId="2" borderId="1" xfId="0" applyNumberFormat="1" applyFont="1" applyFill="1" applyBorder="1" applyAlignment="1">
      <alignment horizontal="center" vertical="center"/>
    </xf>
    <xf numFmtId="0" fontId="31" fillId="0" borderId="1" xfId="0" applyFont="1" applyBorder="1"/>
    <xf numFmtId="0" fontId="20" fillId="2" borderId="1" xfId="0" applyFont="1" applyFill="1" applyBorder="1" applyAlignment="1">
      <alignment horizontal="left" vertical="center" wrapText="1"/>
    </xf>
    <xf numFmtId="0" fontId="20" fillId="0" borderId="1" xfId="0" applyFont="1" applyFill="1" applyBorder="1" applyAlignment="1">
      <alignment horizontal="left" vertical="center" wrapText="1"/>
    </xf>
    <xf numFmtId="0" fontId="26" fillId="0" borderId="1" xfId="0" applyFont="1" applyBorder="1" applyAlignment="1">
      <alignment horizontal="left" vertical="center" wrapText="1"/>
    </xf>
    <xf numFmtId="0" fontId="26" fillId="0" borderId="1" xfId="0" applyFont="1" applyFill="1" applyBorder="1" applyAlignment="1">
      <alignment horizontal="left" vertical="center" wrapText="1"/>
    </xf>
    <xf numFmtId="3" fontId="26" fillId="0" borderId="1" xfId="0" applyNumberFormat="1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/>
    </xf>
    <xf numFmtId="0" fontId="26" fillId="0" borderId="1" xfId="0" applyFont="1" applyBorder="1" applyAlignment="1">
      <alignment vertical="center"/>
    </xf>
    <xf numFmtId="0" fontId="26" fillId="0" borderId="1" xfId="0" applyFont="1" applyFill="1" applyBorder="1" applyAlignment="1">
      <alignment vertical="center"/>
    </xf>
    <xf numFmtId="0" fontId="20" fillId="0" borderId="1" xfId="0" applyFont="1" applyBorder="1" applyAlignment="1">
      <alignment vertical="center" wrapText="1"/>
    </xf>
    <xf numFmtId="0" fontId="20" fillId="0" borderId="1" xfId="0" applyFont="1" applyFill="1" applyBorder="1" applyAlignment="1">
      <alignment vertical="center" wrapText="1"/>
    </xf>
    <xf numFmtId="0" fontId="26" fillId="0" borderId="1" xfId="0" applyFont="1" applyBorder="1" applyAlignment="1">
      <alignment horizontal="center" vertical="center"/>
    </xf>
    <xf numFmtId="0" fontId="26" fillId="0" borderId="1" xfId="0" applyFont="1" applyBorder="1" applyAlignment="1">
      <alignment vertical="center" wrapText="1"/>
    </xf>
    <xf numFmtId="3" fontId="20" fillId="0" borderId="1" xfId="0" applyNumberFormat="1" applyFont="1" applyBorder="1" applyAlignment="1">
      <alignment horizontal="center" vertical="center"/>
    </xf>
    <xf numFmtId="0" fontId="20" fillId="0" borderId="1" xfId="0" applyFont="1" applyBorder="1" applyAlignment="1">
      <alignment horizontal="justify" vertical="center" wrapText="1"/>
    </xf>
    <xf numFmtId="0" fontId="20" fillId="0" borderId="1" xfId="0" applyFont="1" applyFill="1" applyBorder="1" applyAlignment="1">
      <alignment horizontal="justify" vertical="center" wrapText="1"/>
    </xf>
    <xf numFmtId="0" fontId="26" fillId="0" borderId="1" xfId="0" applyFont="1" applyBorder="1" applyAlignment="1">
      <alignment horizontal="justify" vertical="center" wrapText="1"/>
    </xf>
    <xf numFmtId="0" fontId="26" fillId="0" borderId="1" xfId="0" applyFont="1" applyFill="1" applyBorder="1" applyAlignment="1">
      <alignment horizontal="justify" vertical="center" wrapText="1"/>
    </xf>
    <xf numFmtId="0" fontId="26" fillId="10" borderId="1" xfId="0" applyFont="1" applyFill="1" applyBorder="1" applyAlignment="1">
      <alignment horizontal="center" vertical="center"/>
    </xf>
    <xf numFmtId="0" fontId="26" fillId="11" borderId="1" xfId="0" applyFont="1" applyFill="1" applyBorder="1" applyAlignment="1">
      <alignment horizontal="center" vertical="center"/>
    </xf>
    <xf numFmtId="0" fontId="26" fillId="12" borderId="1" xfId="0" applyFont="1" applyFill="1" applyBorder="1" applyAlignment="1">
      <alignment horizontal="center" vertical="center"/>
    </xf>
    <xf numFmtId="0" fontId="33" fillId="11" borderId="1" xfId="0" applyFont="1" applyFill="1" applyBorder="1" applyAlignment="1">
      <alignment horizontal="center" vertical="center"/>
    </xf>
    <xf numFmtId="0" fontId="20" fillId="3" borderId="0" xfId="0" applyFont="1" applyFill="1" applyAlignment="1">
      <alignment vertical="center"/>
    </xf>
    <xf numFmtId="0" fontId="17" fillId="0" borderId="0" xfId="4" applyFont="1"/>
    <xf numFmtId="0" fontId="36" fillId="0" borderId="0" xfId="4" applyFont="1"/>
    <xf numFmtId="0" fontId="36" fillId="0" borderId="1" xfId="4" applyFont="1" applyBorder="1" applyAlignment="1">
      <alignment horizontal="left" vertical="top" wrapText="1"/>
    </xf>
    <xf numFmtId="0" fontId="17" fillId="0" borderId="1" xfId="4" applyFont="1" applyBorder="1" applyAlignment="1">
      <alignment horizontal="left" wrapText="1"/>
    </xf>
    <xf numFmtId="0" fontId="17" fillId="0" borderId="1" xfId="4" applyFont="1" applyBorder="1" applyAlignment="1">
      <alignment horizontal="left" textRotation="90" wrapText="1"/>
    </xf>
    <xf numFmtId="0" fontId="17" fillId="0" borderId="1" xfId="4" applyFont="1" applyBorder="1" applyAlignment="1">
      <alignment horizontal="center" wrapText="1"/>
    </xf>
    <xf numFmtId="0" fontId="17" fillId="0" borderId="5" xfId="4" applyFont="1" applyBorder="1"/>
    <xf numFmtId="0" fontId="7" fillId="0" borderId="1" xfId="3" applyFont="1" applyFill="1" applyBorder="1" applyAlignment="1">
      <alignment horizontal="left" vertical="top" wrapText="1"/>
    </xf>
    <xf numFmtId="0" fontId="17" fillId="0" borderId="3" xfId="4" applyFont="1" applyBorder="1" applyAlignment="1">
      <alignment horizontal="center" wrapText="1"/>
    </xf>
    <xf numFmtId="0" fontId="17" fillId="0" borderId="3" xfId="4" applyFont="1" applyBorder="1" applyAlignment="1">
      <alignment horizontal="left" wrapText="1"/>
    </xf>
    <xf numFmtId="0" fontId="6" fillId="0" borderId="1" xfId="3" applyFont="1" applyFill="1" applyBorder="1" applyAlignment="1">
      <alignment horizontal="left" vertical="top" wrapText="1"/>
    </xf>
    <xf numFmtId="0" fontId="7" fillId="0" borderId="1" xfId="3" applyFont="1" applyFill="1" applyBorder="1" applyAlignment="1">
      <alignment horizontal="center" vertical="top" wrapText="1"/>
    </xf>
    <xf numFmtId="0" fontId="8" fillId="0" borderId="1" xfId="3" applyFont="1" applyFill="1" applyBorder="1" applyAlignment="1">
      <alignment horizontal="left" wrapText="1"/>
    </xf>
    <xf numFmtId="0" fontId="27" fillId="4" borderId="1" xfId="0" applyFont="1" applyFill="1" applyBorder="1" applyAlignment="1">
      <alignment horizontal="center" vertical="center" wrapText="1"/>
    </xf>
    <xf numFmtId="0" fontId="34" fillId="4" borderId="1" xfId="0" applyFont="1" applyFill="1" applyBorder="1" applyAlignment="1">
      <alignment horizontal="center" vertical="center" wrapText="1"/>
    </xf>
    <xf numFmtId="0" fontId="36" fillId="0" borderId="1" xfId="4" applyFont="1" applyBorder="1" applyAlignment="1">
      <alignment horizontal="left" vertical="top" wrapText="1"/>
    </xf>
    <xf numFmtId="0" fontId="36" fillId="0" borderId="1" xfId="4" applyFont="1" applyBorder="1" applyAlignment="1">
      <alignment horizontal="center" vertical="top" wrapText="1"/>
    </xf>
    <xf numFmtId="0" fontId="17" fillId="0" borderId="1" xfId="4" applyFont="1" applyBorder="1" applyAlignment="1">
      <alignment horizontal="left" wrapText="1"/>
    </xf>
  </cellXfs>
  <cellStyles count="5">
    <cellStyle name="Excel Built-in Normal" xfId="4"/>
    <cellStyle name="Excel Built-in Normal 1" xfId="3"/>
    <cellStyle name="Обычный" xfId="0" builtinId="0"/>
    <cellStyle name="Обычный 2" xfId="1"/>
    <cellStyle name="Обычный 3" xfId="2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33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66FF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99FF66"/>
      <rgbColor rgb="00FFFF99"/>
      <rgbColor rgb="0099CCFF"/>
      <rgbColor rgb="00FF99FF"/>
      <rgbColor rgb="00CC99FF"/>
      <rgbColor rgb="00FFCC99"/>
      <rgbColor rgb="003366FF"/>
      <rgbColor rgb="0033CCCC"/>
      <rgbColor rgb="0099CC00"/>
      <rgbColor rgb="00FFCC00"/>
      <rgbColor rgb="00FF9900"/>
      <rgbColor rgb="00FF33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156"/>
  <sheetViews>
    <sheetView topLeftCell="A13" zoomScale="78" zoomScaleNormal="78" workbookViewId="0">
      <selection activeCell="B11" sqref="B11"/>
    </sheetView>
  </sheetViews>
  <sheetFormatPr defaultColWidth="14.44140625" defaultRowHeight="19.5" customHeight="1"/>
  <cols>
    <col min="1" max="1" width="5.44140625" style="1" customWidth="1"/>
    <col min="2" max="2" width="39" style="1" customWidth="1"/>
    <col min="3" max="3" width="8.5546875" style="1" customWidth="1"/>
    <col min="4" max="4" width="7.6640625" style="1" customWidth="1"/>
    <col min="5" max="5" width="9.5546875" style="1" customWidth="1"/>
    <col min="6" max="6" width="7.109375" style="1" customWidth="1"/>
    <col min="7" max="8" width="7" style="1" customWidth="1"/>
    <col min="9" max="9" width="8.109375" style="1" customWidth="1"/>
    <col min="10" max="10" width="7.5546875" style="1" customWidth="1"/>
    <col min="11" max="11" width="8.109375" style="1" customWidth="1"/>
    <col min="12" max="12" width="7" style="1" customWidth="1"/>
    <col min="13" max="13" width="7.44140625" style="1" customWidth="1"/>
    <col min="14" max="14" width="8.6640625" style="1" customWidth="1"/>
    <col min="15" max="15" width="12.6640625" style="1" customWidth="1"/>
    <col min="16" max="64" width="14.44140625" style="1"/>
    <col min="65" max="16384" width="14.44140625" style="2"/>
  </cols>
  <sheetData>
    <row r="1" spans="1:16" ht="21.6" customHeight="1">
      <c r="A1" s="3" t="s">
        <v>0</v>
      </c>
      <c r="B1" s="4"/>
    </row>
    <row r="2" spans="1:16" ht="15.75" customHeight="1">
      <c r="A2" s="96"/>
      <c r="B2" s="97" t="s">
        <v>1</v>
      </c>
      <c r="C2" s="98" t="s">
        <v>2</v>
      </c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</row>
    <row r="3" spans="1:16" ht="111" customHeight="1">
      <c r="A3" s="96"/>
      <c r="B3" s="96"/>
      <c r="C3" s="5" t="s">
        <v>3</v>
      </c>
      <c r="D3" s="6" t="s">
        <v>4</v>
      </c>
      <c r="E3" s="6" t="s">
        <v>5</v>
      </c>
      <c r="F3" s="6" t="s">
        <v>6</v>
      </c>
      <c r="G3" s="7" t="s">
        <v>7</v>
      </c>
      <c r="H3" s="7" t="s">
        <v>8</v>
      </c>
      <c r="I3" s="7" t="s">
        <v>9</v>
      </c>
      <c r="J3" s="7" t="s">
        <v>10</v>
      </c>
      <c r="K3" s="7" t="s">
        <v>11</v>
      </c>
      <c r="L3" s="7" t="s">
        <v>12</v>
      </c>
      <c r="M3" s="8"/>
      <c r="N3" s="7" t="s">
        <v>13</v>
      </c>
      <c r="O3" s="7" t="s">
        <v>14</v>
      </c>
      <c r="P3" s="9"/>
    </row>
    <row r="4" spans="1:16" ht="15.6" customHeight="1">
      <c r="A4" s="10">
        <v>1</v>
      </c>
      <c r="B4" s="11" t="s">
        <v>15</v>
      </c>
      <c r="C4" s="12">
        <v>9</v>
      </c>
      <c r="D4" s="12">
        <v>2</v>
      </c>
      <c r="E4" s="12">
        <v>4</v>
      </c>
      <c r="F4" s="12">
        <v>4</v>
      </c>
      <c r="G4" s="12"/>
      <c r="H4" s="12"/>
      <c r="I4" s="12">
        <v>1</v>
      </c>
      <c r="J4" s="12">
        <v>1</v>
      </c>
      <c r="K4" s="12"/>
      <c r="L4" s="12">
        <v>1</v>
      </c>
      <c r="M4" s="12"/>
      <c r="N4" s="12">
        <v>1</v>
      </c>
      <c r="O4" s="12">
        <f t="shared" ref="O4:O25" si="0">SUM(C4:N4)</f>
        <v>23</v>
      </c>
    </row>
    <row r="5" spans="1:16" ht="15.6" customHeight="1">
      <c r="A5" s="10">
        <v>2</v>
      </c>
      <c r="B5" s="13" t="s">
        <v>16</v>
      </c>
      <c r="C5" s="12">
        <v>9</v>
      </c>
      <c r="D5" s="12">
        <v>2</v>
      </c>
      <c r="E5" s="12">
        <v>4</v>
      </c>
      <c r="F5" s="12">
        <v>4</v>
      </c>
      <c r="G5" s="12"/>
      <c r="H5" s="12"/>
      <c r="I5" s="12">
        <v>1</v>
      </c>
      <c r="J5" s="12">
        <v>1</v>
      </c>
      <c r="K5" s="12"/>
      <c r="L5" s="12">
        <v>1</v>
      </c>
      <c r="M5" s="12"/>
      <c r="N5" s="12">
        <v>1</v>
      </c>
      <c r="O5" s="12">
        <f t="shared" si="0"/>
        <v>23</v>
      </c>
    </row>
    <row r="6" spans="1:16" ht="15.6" customHeight="1">
      <c r="A6" s="10">
        <v>3</v>
      </c>
      <c r="B6" s="13" t="s">
        <v>17</v>
      </c>
      <c r="C6" s="12">
        <v>9</v>
      </c>
      <c r="D6" s="12">
        <v>2</v>
      </c>
      <c r="E6" s="12">
        <v>4</v>
      </c>
      <c r="F6" s="12">
        <v>4</v>
      </c>
      <c r="G6" s="12"/>
      <c r="H6" s="12"/>
      <c r="I6" s="12">
        <v>1</v>
      </c>
      <c r="J6" s="12">
        <v>1</v>
      </c>
      <c r="K6" s="12"/>
      <c r="L6" s="12">
        <v>1</v>
      </c>
      <c r="M6" s="12"/>
      <c r="N6" s="12">
        <v>1</v>
      </c>
      <c r="O6" s="12">
        <f t="shared" si="0"/>
        <v>23</v>
      </c>
    </row>
    <row r="7" spans="1:16" ht="15.6" customHeight="1">
      <c r="A7" s="10">
        <v>4</v>
      </c>
      <c r="B7" s="13" t="s">
        <v>18</v>
      </c>
      <c r="C7" s="12">
        <v>10</v>
      </c>
      <c r="D7" s="12">
        <v>2</v>
      </c>
      <c r="E7" s="12">
        <v>4</v>
      </c>
      <c r="F7" s="12">
        <v>4</v>
      </c>
      <c r="G7" s="12"/>
      <c r="H7" s="12"/>
      <c r="I7" s="12">
        <v>1</v>
      </c>
      <c r="J7" s="12">
        <v>1</v>
      </c>
      <c r="K7" s="12">
        <v>2</v>
      </c>
      <c r="L7" s="12">
        <v>1</v>
      </c>
      <c r="M7" s="12"/>
      <c r="N7" s="12">
        <v>1</v>
      </c>
      <c r="O7" s="12">
        <f t="shared" si="0"/>
        <v>26</v>
      </c>
    </row>
    <row r="8" spans="1:16" ht="15.6" customHeight="1">
      <c r="A8" s="10">
        <v>5</v>
      </c>
      <c r="B8" s="14" t="s">
        <v>19</v>
      </c>
      <c r="C8" s="12">
        <v>9</v>
      </c>
      <c r="D8" s="12">
        <v>2</v>
      </c>
      <c r="E8" s="12">
        <v>4</v>
      </c>
      <c r="F8" s="12">
        <v>4</v>
      </c>
      <c r="G8" s="12">
        <v>4</v>
      </c>
      <c r="H8" s="12"/>
      <c r="I8" s="12">
        <v>1</v>
      </c>
      <c r="J8" s="12">
        <v>1</v>
      </c>
      <c r="K8" s="12"/>
      <c r="L8" s="12">
        <v>1</v>
      </c>
      <c r="M8" s="12"/>
      <c r="N8" s="12">
        <v>1</v>
      </c>
      <c r="O8" s="12">
        <f t="shared" si="0"/>
        <v>27</v>
      </c>
    </row>
    <row r="9" spans="1:16" ht="15.6" customHeight="1">
      <c r="A9" s="10">
        <v>6</v>
      </c>
      <c r="B9" s="11" t="s">
        <v>20</v>
      </c>
      <c r="C9" s="12">
        <v>9</v>
      </c>
      <c r="D9" s="12">
        <v>2</v>
      </c>
      <c r="E9" s="12">
        <v>4</v>
      </c>
      <c r="F9" s="12">
        <v>4</v>
      </c>
      <c r="G9" s="12">
        <v>4</v>
      </c>
      <c r="H9" s="12"/>
      <c r="I9" s="12">
        <v>1</v>
      </c>
      <c r="J9" s="12">
        <v>1</v>
      </c>
      <c r="K9" s="12"/>
      <c r="L9" s="12">
        <v>1</v>
      </c>
      <c r="M9" s="12"/>
      <c r="N9" s="12">
        <v>1</v>
      </c>
      <c r="O9" s="12">
        <f t="shared" si="0"/>
        <v>27</v>
      </c>
    </row>
    <row r="10" spans="1:16" ht="15.6" customHeight="1">
      <c r="A10" s="10">
        <v>7</v>
      </c>
      <c r="B10" s="13" t="s">
        <v>21</v>
      </c>
      <c r="C10" s="12">
        <v>9</v>
      </c>
      <c r="D10" s="12">
        <v>2</v>
      </c>
      <c r="E10" s="12">
        <v>4</v>
      </c>
      <c r="F10" s="12">
        <v>4</v>
      </c>
      <c r="G10" s="12"/>
      <c r="H10" s="12"/>
      <c r="I10" s="12">
        <v>1</v>
      </c>
      <c r="J10" s="12">
        <v>1</v>
      </c>
      <c r="K10" s="12"/>
      <c r="L10" s="12">
        <v>1</v>
      </c>
      <c r="M10" s="12"/>
      <c r="N10" s="12">
        <v>1</v>
      </c>
      <c r="O10" s="12">
        <f t="shared" si="0"/>
        <v>23</v>
      </c>
    </row>
    <row r="11" spans="1:16" ht="15.6" customHeight="1">
      <c r="A11" s="10">
        <v>8</v>
      </c>
      <c r="B11" s="13" t="s">
        <v>22</v>
      </c>
      <c r="C11" s="12">
        <v>9</v>
      </c>
      <c r="D11" s="12">
        <v>2</v>
      </c>
      <c r="E11" s="12">
        <v>4</v>
      </c>
      <c r="F11" s="12">
        <v>4</v>
      </c>
      <c r="G11" s="12">
        <v>4</v>
      </c>
      <c r="H11" s="12"/>
      <c r="I11" s="12">
        <v>1</v>
      </c>
      <c r="J11" s="12">
        <v>1</v>
      </c>
      <c r="K11" s="12"/>
      <c r="L11" s="12">
        <v>1</v>
      </c>
      <c r="M11" s="12"/>
      <c r="N11" s="12">
        <v>1</v>
      </c>
      <c r="O11" s="12">
        <f t="shared" si="0"/>
        <v>27</v>
      </c>
    </row>
    <row r="12" spans="1:16" ht="15.6" customHeight="1">
      <c r="A12" s="10">
        <v>9</v>
      </c>
      <c r="B12" s="13" t="s">
        <v>23</v>
      </c>
      <c r="C12" s="12">
        <v>9</v>
      </c>
      <c r="D12" s="12">
        <v>2</v>
      </c>
      <c r="E12" s="12">
        <v>4</v>
      </c>
      <c r="F12" s="12">
        <v>4</v>
      </c>
      <c r="G12" s="12"/>
      <c r="H12" s="12"/>
      <c r="I12" s="12">
        <v>1</v>
      </c>
      <c r="J12" s="12">
        <v>1</v>
      </c>
      <c r="K12" s="12"/>
      <c r="L12" s="12">
        <v>1</v>
      </c>
      <c r="M12" s="12"/>
      <c r="N12" s="12">
        <v>1</v>
      </c>
      <c r="O12" s="12">
        <f t="shared" si="0"/>
        <v>23</v>
      </c>
    </row>
    <row r="13" spans="1:16" ht="15.6" customHeight="1">
      <c r="A13" s="10">
        <v>10</v>
      </c>
      <c r="B13" s="13" t="s">
        <v>24</v>
      </c>
      <c r="C13" s="12">
        <v>9</v>
      </c>
      <c r="D13" s="12">
        <v>2</v>
      </c>
      <c r="E13" s="12">
        <v>4</v>
      </c>
      <c r="F13" s="12">
        <v>4</v>
      </c>
      <c r="G13" s="12">
        <v>4</v>
      </c>
      <c r="H13" s="12"/>
      <c r="I13" s="12">
        <v>1</v>
      </c>
      <c r="J13" s="12">
        <v>1</v>
      </c>
      <c r="K13" s="12"/>
      <c r="L13" s="12">
        <v>1</v>
      </c>
      <c r="M13" s="12"/>
      <c r="N13" s="12">
        <v>1</v>
      </c>
      <c r="O13" s="12">
        <f t="shared" si="0"/>
        <v>27</v>
      </c>
    </row>
    <row r="14" spans="1:16" ht="15.6" customHeight="1">
      <c r="A14" s="10">
        <v>11</v>
      </c>
      <c r="B14" s="13" t="s">
        <v>25</v>
      </c>
      <c r="C14" s="12">
        <v>9</v>
      </c>
      <c r="D14" s="12">
        <v>2</v>
      </c>
      <c r="E14" s="12">
        <v>4</v>
      </c>
      <c r="F14" s="12">
        <v>4</v>
      </c>
      <c r="G14" s="12"/>
      <c r="H14" s="12"/>
      <c r="I14" s="12">
        <v>1</v>
      </c>
      <c r="J14" s="12">
        <v>1</v>
      </c>
      <c r="K14" s="12"/>
      <c r="L14" s="12">
        <v>1</v>
      </c>
      <c r="M14" s="12"/>
      <c r="N14" s="12">
        <v>1</v>
      </c>
      <c r="O14" s="12">
        <f t="shared" si="0"/>
        <v>23</v>
      </c>
    </row>
    <row r="15" spans="1:16" ht="15.6" customHeight="1">
      <c r="A15" s="10">
        <v>12</v>
      </c>
      <c r="B15" s="13" t="s">
        <v>26</v>
      </c>
      <c r="C15" s="12">
        <v>9</v>
      </c>
      <c r="D15" s="12">
        <v>2</v>
      </c>
      <c r="E15" s="12">
        <v>4</v>
      </c>
      <c r="F15" s="12">
        <v>4</v>
      </c>
      <c r="G15" s="12"/>
      <c r="H15" s="12"/>
      <c r="I15" s="12">
        <v>1</v>
      </c>
      <c r="J15" s="12">
        <v>1</v>
      </c>
      <c r="K15" s="12"/>
      <c r="L15" s="12">
        <v>1</v>
      </c>
      <c r="M15" s="12"/>
      <c r="N15" s="12">
        <v>1</v>
      </c>
      <c r="O15" s="12">
        <f t="shared" si="0"/>
        <v>23</v>
      </c>
    </row>
    <row r="16" spans="1:16" ht="15.6" customHeight="1">
      <c r="A16" s="10">
        <v>13</v>
      </c>
      <c r="B16" s="11" t="s">
        <v>27</v>
      </c>
      <c r="C16" s="12">
        <v>9</v>
      </c>
      <c r="D16" s="12">
        <v>2</v>
      </c>
      <c r="E16" s="12">
        <v>4</v>
      </c>
      <c r="F16" s="12">
        <v>4</v>
      </c>
      <c r="G16" s="12"/>
      <c r="H16" s="12"/>
      <c r="I16" s="12">
        <v>1</v>
      </c>
      <c r="J16" s="12">
        <v>1</v>
      </c>
      <c r="K16" s="12"/>
      <c r="L16" s="12">
        <v>1</v>
      </c>
      <c r="M16" s="12"/>
      <c r="N16" s="12">
        <v>1</v>
      </c>
      <c r="O16" s="12">
        <f t="shared" si="0"/>
        <v>23</v>
      </c>
    </row>
    <row r="17" spans="1:15" ht="15.6" customHeight="1">
      <c r="A17" s="10">
        <v>14</v>
      </c>
      <c r="B17" s="13" t="s">
        <v>28</v>
      </c>
      <c r="C17" s="12">
        <v>9</v>
      </c>
      <c r="D17" s="12">
        <v>2</v>
      </c>
      <c r="E17" s="12">
        <v>4</v>
      </c>
      <c r="F17" s="12">
        <v>4</v>
      </c>
      <c r="G17" s="12">
        <v>4</v>
      </c>
      <c r="H17" s="12"/>
      <c r="I17" s="12">
        <v>1</v>
      </c>
      <c r="J17" s="12">
        <v>1</v>
      </c>
      <c r="K17" s="12">
        <v>2</v>
      </c>
      <c r="L17" s="12">
        <v>1</v>
      </c>
      <c r="M17" s="12"/>
      <c r="N17" s="12">
        <v>1</v>
      </c>
      <c r="O17" s="12">
        <f t="shared" si="0"/>
        <v>29</v>
      </c>
    </row>
    <row r="18" spans="1:15" ht="15.6" customHeight="1">
      <c r="A18" s="10">
        <v>15</v>
      </c>
      <c r="B18" s="13" t="s">
        <v>29</v>
      </c>
      <c r="C18" s="12">
        <v>9</v>
      </c>
      <c r="D18" s="12">
        <v>2</v>
      </c>
      <c r="E18" s="12">
        <v>4</v>
      </c>
      <c r="F18" s="12">
        <v>4</v>
      </c>
      <c r="G18" s="12"/>
      <c r="H18" s="12"/>
      <c r="I18" s="12">
        <v>1</v>
      </c>
      <c r="J18" s="12">
        <v>1</v>
      </c>
      <c r="K18" s="12"/>
      <c r="L18" s="12">
        <v>1</v>
      </c>
      <c r="M18" s="12"/>
      <c r="N18" s="12">
        <v>1</v>
      </c>
      <c r="O18" s="12">
        <f t="shared" si="0"/>
        <v>23</v>
      </c>
    </row>
    <row r="19" spans="1:15" ht="15.6" customHeight="1">
      <c r="A19" s="10">
        <v>16</v>
      </c>
      <c r="B19" s="13" t="s">
        <v>30</v>
      </c>
      <c r="C19" s="12">
        <v>9</v>
      </c>
      <c r="D19" s="12">
        <v>2</v>
      </c>
      <c r="E19" s="12">
        <v>4</v>
      </c>
      <c r="F19" s="12">
        <v>4</v>
      </c>
      <c r="G19" s="12"/>
      <c r="H19" s="12"/>
      <c r="I19" s="12">
        <v>1</v>
      </c>
      <c r="J19" s="12">
        <v>1</v>
      </c>
      <c r="K19" s="12">
        <v>2</v>
      </c>
      <c r="L19" s="12">
        <v>1</v>
      </c>
      <c r="M19" s="12"/>
      <c r="N19" s="12">
        <v>1</v>
      </c>
      <c r="O19" s="12">
        <f t="shared" si="0"/>
        <v>25</v>
      </c>
    </row>
    <row r="20" spans="1:15" ht="15.6" customHeight="1">
      <c r="A20" s="10">
        <v>17</v>
      </c>
      <c r="B20" s="11" t="s">
        <v>31</v>
      </c>
      <c r="C20" s="12">
        <v>9</v>
      </c>
      <c r="D20" s="12">
        <v>2</v>
      </c>
      <c r="E20" s="12">
        <v>4</v>
      </c>
      <c r="F20" s="12">
        <v>4</v>
      </c>
      <c r="G20" s="12">
        <v>4</v>
      </c>
      <c r="H20" s="12"/>
      <c r="I20" s="12">
        <v>1</v>
      </c>
      <c r="J20" s="12">
        <v>1</v>
      </c>
      <c r="K20" s="12"/>
      <c r="L20" s="12">
        <v>1</v>
      </c>
      <c r="M20" s="12"/>
      <c r="N20" s="12">
        <v>1</v>
      </c>
      <c r="O20" s="12">
        <f t="shared" si="0"/>
        <v>27</v>
      </c>
    </row>
    <row r="21" spans="1:15" ht="15.6" customHeight="1">
      <c r="A21" s="10">
        <v>18</v>
      </c>
      <c r="B21" s="13" t="s">
        <v>32</v>
      </c>
      <c r="C21" s="12">
        <v>9</v>
      </c>
      <c r="D21" s="12">
        <v>2</v>
      </c>
      <c r="E21" s="12">
        <v>4</v>
      </c>
      <c r="F21" s="12">
        <v>4</v>
      </c>
      <c r="G21" s="12">
        <v>4</v>
      </c>
      <c r="H21" s="12"/>
      <c r="I21" s="12">
        <v>1</v>
      </c>
      <c r="J21" s="12">
        <v>1</v>
      </c>
      <c r="K21" s="12"/>
      <c r="L21" s="12">
        <v>1</v>
      </c>
      <c r="M21" s="12"/>
      <c r="N21" s="12">
        <v>1</v>
      </c>
      <c r="O21" s="12">
        <f t="shared" si="0"/>
        <v>27</v>
      </c>
    </row>
    <row r="22" spans="1:15" ht="15.6" customHeight="1">
      <c r="A22" s="10">
        <v>19</v>
      </c>
      <c r="B22" s="13" t="s">
        <v>33</v>
      </c>
      <c r="C22" s="12">
        <v>9</v>
      </c>
      <c r="D22" s="12">
        <v>1</v>
      </c>
      <c r="E22" s="12">
        <v>4</v>
      </c>
      <c r="F22" s="12"/>
      <c r="G22" s="12"/>
      <c r="H22" s="12"/>
      <c r="I22" s="12">
        <v>1</v>
      </c>
      <c r="J22" s="12">
        <v>1</v>
      </c>
      <c r="K22" s="12"/>
      <c r="L22" s="12">
        <v>1</v>
      </c>
      <c r="M22" s="12"/>
      <c r="N22" s="12">
        <v>1</v>
      </c>
      <c r="O22" s="12">
        <f t="shared" si="0"/>
        <v>18</v>
      </c>
    </row>
    <row r="23" spans="1:15" ht="15.6" customHeight="1">
      <c r="A23" s="10">
        <v>20</v>
      </c>
      <c r="B23" s="11" t="s">
        <v>34</v>
      </c>
      <c r="C23" s="12">
        <v>9</v>
      </c>
      <c r="D23" s="12">
        <v>2</v>
      </c>
      <c r="E23" s="12">
        <v>4</v>
      </c>
      <c r="F23" s="12">
        <v>4</v>
      </c>
      <c r="G23" s="12">
        <v>2</v>
      </c>
      <c r="H23" s="12"/>
      <c r="I23" s="12">
        <v>1</v>
      </c>
      <c r="J23" s="12">
        <v>1</v>
      </c>
      <c r="K23" s="12"/>
      <c r="L23" s="12">
        <v>1</v>
      </c>
      <c r="M23" s="12"/>
      <c r="N23" s="12">
        <v>1</v>
      </c>
      <c r="O23" s="12">
        <f t="shared" si="0"/>
        <v>25</v>
      </c>
    </row>
    <row r="24" spans="1:15" ht="15.6" customHeight="1">
      <c r="A24" s="10">
        <v>21</v>
      </c>
      <c r="B24" s="11" t="s">
        <v>35</v>
      </c>
      <c r="C24" s="12">
        <v>9</v>
      </c>
      <c r="D24" s="12">
        <v>2</v>
      </c>
      <c r="E24" s="12">
        <v>4</v>
      </c>
      <c r="F24" s="12">
        <v>4</v>
      </c>
      <c r="G24" s="12">
        <v>4</v>
      </c>
      <c r="H24" s="12"/>
      <c r="I24" s="12">
        <v>1</v>
      </c>
      <c r="J24" s="12">
        <v>1</v>
      </c>
      <c r="K24" s="12"/>
      <c r="L24" s="12">
        <v>1</v>
      </c>
      <c r="M24" s="12"/>
      <c r="N24" s="12">
        <v>1</v>
      </c>
      <c r="O24" s="12">
        <f t="shared" si="0"/>
        <v>27</v>
      </c>
    </row>
    <row r="25" spans="1:15" ht="15.6" customHeight="1">
      <c r="A25" s="10">
        <v>22</v>
      </c>
      <c r="B25" s="14" t="s">
        <v>36</v>
      </c>
      <c r="C25" s="12">
        <v>9</v>
      </c>
      <c r="D25" s="12">
        <v>2</v>
      </c>
      <c r="E25" s="12">
        <v>4</v>
      </c>
      <c r="F25" s="12">
        <v>4</v>
      </c>
      <c r="G25" s="12"/>
      <c r="H25" s="12"/>
      <c r="I25" s="12">
        <v>1</v>
      </c>
      <c r="J25" s="12">
        <v>1</v>
      </c>
      <c r="K25" s="12"/>
      <c r="L25" s="12">
        <v>1</v>
      </c>
      <c r="M25" s="12"/>
      <c r="N25" s="12">
        <v>1</v>
      </c>
      <c r="O25" s="12">
        <f t="shared" si="0"/>
        <v>23</v>
      </c>
    </row>
    <row r="26" spans="1:15" ht="15.6" customHeight="1">
      <c r="A26" s="10"/>
      <c r="B26" s="14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>
        <f>SUM(O4:O25)</f>
        <v>542</v>
      </c>
    </row>
    <row r="27" spans="1:15" ht="15.6" customHeight="1">
      <c r="A27" s="15"/>
      <c r="B27" s="14"/>
      <c r="C27" s="12">
        <f t="shared" ref="C27:N27" si="1">SUM(C4:C26)</f>
        <v>199</v>
      </c>
      <c r="D27" s="12">
        <f t="shared" si="1"/>
        <v>43</v>
      </c>
      <c r="E27" s="12">
        <f t="shared" si="1"/>
        <v>88</v>
      </c>
      <c r="F27" s="12">
        <f t="shared" si="1"/>
        <v>84</v>
      </c>
      <c r="G27" s="12">
        <f t="shared" si="1"/>
        <v>34</v>
      </c>
      <c r="H27" s="12">
        <f t="shared" si="1"/>
        <v>0</v>
      </c>
      <c r="I27" s="12">
        <f t="shared" si="1"/>
        <v>22</v>
      </c>
      <c r="J27" s="12">
        <f t="shared" si="1"/>
        <v>22</v>
      </c>
      <c r="K27" s="12">
        <f t="shared" si="1"/>
        <v>6</v>
      </c>
      <c r="L27" s="12">
        <f t="shared" si="1"/>
        <v>22</v>
      </c>
      <c r="M27" s="12">
        <f t="shared" si="1"/>
        <v>0</v>
      </c>
      <c r="N27" s="12">
        <f t="shared" si="1"/>
        <v>22</v>
      </c>
      <c r="O27" s="12">
        <f>SUM(C27:N27)</f>
        <v>542</v>
      </c>
    </row>
    <row r="28" spans="1:15" ht="19.5" customHeight="1">
      <c r="A28" s="16" t="s">
        <v>37</v>
      </c>
      <c r="B28" s="4"/>
      <c r="O28" s="1">
        <f>O27+1635</f>
        <v>2177</v>
      </c>
    </row>
    <row r="29" spans="1:15" ht="19.5" customHeight="1">
      <c r="A29" s="16"/>
      <c r="B29" s="4"/>
    </row>
    <row r="30" spans="1:15" ht="19.5" customHeight="1">
      <c r="A30" s="17"/>
      <c r="B30" s="4"/>
    </row>
    <row r="31" spans="1:15" ht="19.5" customHeight="1">
      <c r="A31" s="17"/>
      <c r="B31" s="4"/>
    </row>
    <row r="32" spans="1:15" ht="19.5" customHeight="1">
      <c r="A32" s="17"/>
      <c r="B32" s="4"/>
    </row>
    <row r="33" spans="1:2" ht="19.5" customHeight="1">
      <c r="A33" s="17"/>
      <c r="B33" s="4"/>
    </row>
    <row r="34" spans="1:2" ht="19.5" customHeight="1">
      <c r="A34" s="17"/>
      <c r="B34" s="4"/>
    </row>
    <row r="35" spans="1:2" ht="19.5" customHeight="1">
      <c r="A35" s="17"/>
      <c r="B35" s="4"/>
    </row>
    <row r="36" spans="1:2" ht="19.5" customHeight="1">
      <c r="A36" s="17"/>
      <c r="B36" s="4"/>
    </row>
    <row r="37" spans="1:2" ht="19.5" customHeight="1">
      <c r="A37" s="17"/>
      <c r="B37" s="4"/>
    </row>
    <row r="38" spans="1:2" ht="19.5" customHeight="1">
      <c r="A38" s="17"/>
      <c r="B38" s="4"/>
    </row>
    <row r="39" spans="1:2" ht="19.5" customHeight="1">
      <c r="A39" s="17"/>
      <c r="B39" s="4"/>
    </row>
    <row r="40" spans="1:2" ht="19.5" customHeight="1">
      <c r="A40" s="17"/>
      <c r="B40" s="4"/>
    </row>
    <row r="41" spans="1:2" ht="19.5" customHeight="1">
      <c r="A41" s="17"/>
      <c r="B41" s="4"/>
    </row>
    <row r="42" spans="1:2" ht="19.5" customHeight="1">
      <c r="A42" s="17"/>
      <c r="B42" s="4"/>
    </row>
    <row r="43" spans="1:2" ht="19.5" customHeight="1">
      <c r="A43" s="17"/>
      <c r="B43" s="4"/>
    </row>
    <row r="44" spans="1:2" ht="19.5" customHeight="1">
      <c r="A44" s="17"/>
      <c r="B44" s="4"/>
    </row>
    <row r="45" spans="1:2" ht="19.5" customHeight="1">
      <c r="A45" s="17"/>
      <c r="B45" s="4"/>
    </row>
    <row r="46" spans="1:2" ht="19.5" customHeight="1">
      <c r="A46" s="17"/>
      <c r="B46" s="4"/>
    </row>
    <row r="47" spans="1:2" ht="19.5" customHeight="1">
      <c r="A47" s="17"/>
      <c r="B47" s="4"/>
    </row>
    <row r="48" spans="1:2" ht="19.5" customHeight="1">
      <c r="A48" s="17"/>
      <c r="B48" s="4"/>
    </row>
    <row r="49" spans="1:2" ht="19.5" customHeight="1">
      <c r="A49" s="17"/>
      <c r="B49" s="4"/>
    </row>
    <row r="50" spans="1:2" ht="19.5" customHeight="1">
      <c r="A50" s="17"/>
      <c r="B50" s="4"/>
    </row>
    <row r="51" spans="1:2" ht="19.5" customHeight="1">
      <c r="A51" s="17"/>
      <c r="B51" s="4"/>
    </row>
    <row r="52" spans="1:2" ht="19.5" customHeight="1">
      <c r="A52" s="17"/>
      <c r="B52" s="4"/>
    </row>
    <row r="53" spans="1:2" ht="19.5" customHeight="1">
      <c r="A53" s="17"/>
      <c r="B53" s="4"/>
    </row>
    <row r="54" spans="1:2" ht="19.5" customHeight="1">
      <c r="A54" s="17"/>
      <c r="B54" s="4"/>
    </row>
    <row r="55" spans="1:2" ht="19.5" customHeight="1">
      <c r="A55" s="17"/>
      <c r="B55" s="4"/>
    </row>
    <row r="56" spans="1:2" ht="19.5" customHeight="1">
      <c r="A56" s="17"/>
      <c r="B56" s="4"/>
    </row>
    <row r="57" spans="1:2" ht="19.5" customHeight="1">
      <c r="A57" s="17"/>
      <c r="B57" s="4"/>
    </row>
    <row r="58" spans="1:2" ht="19.5" customHeight="1">
      <c r="A58" s="17"/>
      <c r="B58" s="4"/>
    </row>
    <row r="59" spans="1:2" ht="19.5" customHeight="1">
      <c r="A59" s="17"/>
      <c r="B59" s="4"/>
    </row>
    <row r="60" spans="1:2" ht="19.5" customHeight="1">
      <c r="A60" s="17"/>
      <c r="B60" s="4"/>
    </row>
    <row r="61" spans="1:2" ht="19.5" customHeight="1">
      <c r="A61" s="17"/>
      <c r="B61" s="4"/>
    </row>
    <row r="62" spans="1:2" ht="19.5" customHeight="1">
      <c r="A62" s="17"/>
      <c r="B62" s="4"/>
    </row>
    <row r="63" spans="1:2" ht="19.5" customHeight="1">
      <c r="A63" s="17"/>
      <c r="B63" s="4"/>
    </row>
    <row r="64" spans="1:2" ht="19.5" customHeight="1">
      <c r="A64" s="17"/>
      <c r="B64" s="4"/>
    </row>
    <row r="65" spans="1:2" ht="19.5" customHeight="1">
      <c r="A65" s="17"/>
      <c r="B65" s="4"/>
    </row>
    <row r="66" spans="1:2" ht="19.5" customHeight="1">
      <c r="A66" s="17"/>
      <c r="B66" s="4"/>
    </row>
    <row r="67" spans="1:2" ht="19.5" customHeight="1">
      <c r="A67" s="17"/>
      <c r="B67" s="4"/>
    </row>
    <row r="68" spans="1:2" ht="19.5" customHeight="1">
      <c r="A68" s="17"/>
      <c r="B68" s="4"/>
    </row>
    <row r="69" spans="1:2" ht="19.5" customHeight="1">
      <c r="A69" s="17"/>
      <c r="B69" s="4"/>
    </row>
    <row r="70" spans="1:2" ht="19.5" customHeight="1">
      <c r="A70" s="17"/>
      <c r="B70" s="4"/>
    </row>
    <row r="71" spans="1:2" ht="19.5" customHeight="1">
      <c r="A71" s="17"/>
      <c r="B71" s="4"/>
    </row>
    <row r="72" spans="1:2" ht="19.5" customHeight="1">
      <c r="A72" s="17"/>
      <c r="B72" s="4"/>
    </row>
    <row r="73" spans="1:2" ht="19.5" customHeight="1">
      <c r="A73" s="17"/>
      <c r="B73" s="4"/>
    </row>
    <row r="74" spans="1:2" ht="19.5" customHeight="1">
      <c r="A74" s="17"/>
      <c r="B74" s="4"/>
    </row>
    <row r="75" spans="1:2" ht="19.5" customHeight="1">
      <c r="A75" s="17"/>
      <c r="B75" s="4"/>
    </row>
    <row r="76" spans="1:2" ht="19.5" customHeight="1">
      <c r="A76" s="17"/>
      <c r="B76" s="4"/>
    </row>
    <row r="77" spans="1:2" ht="19.5" customHeight="1">
      <c r="A77" s="17"/>
      <c r="B77" s="4"/>
    </row>
    <row r="78" spans="1:2" ht="19.5" customHeight="1">
      <c r="A78" s="17"/>
      <c r="B78" s="4"/>
    </row>
    <row r="79" spans="1:2" ht="19.5" customHeight="1">
      <c r="A79" s="17"/>
      <c r="B79" s="4"/>
    </row>
    <row r="80" spans="1:2" ht="19.5" customHeight="1">
      <c r="A80" s="17"/>
      <c r="B80" s="4"/>
    </row>
    <row r="81" spans="1:2" ht="19.5" customHeight="1">
      <c r="A81" s="17"/>
      <c r="B81" s="4"/>
    </row>
    <row r="82" spans="1:2" ht="19.5" customHeight="1">
      <c r="A82" s="17"/>
      <c r="B82" s="4"/>
    </row>
    <row r="83" spans="1:2" ht="19.5" customHeight="1">
      <c r="A83" s="17"/>
      <c r="B83" s="4"/>
    </row>
    <row r="84" spans="1:2" ht="19.5" customHeight="1">
      <c r="A84" s="17"/>
      <c r="B84" s="4"/>
    </row>
    <row r="85" spans="1:2" ht="19.5" customHeight="1">
      <c r="A85" s="17"/>
      <c r="B85" s="4"/>
    </row>
    <row r="86" spans="1:2" ht="19.5" customHeight="1">
      <c r="A86" s="17"/>
      <c r="B86" s="4"/>
    </row>
    <row r="87" spans="1:2" ht="19.5" customHeight="1">
      <c r="A87" s="17"/>
      <c r="B87" s="4"/>
    </row>
    <row r="88" spans="1:2" ht="19.5" customHeight="1">
      <c r="A88" s="17"/>
      <c r="B88" s="4"/>
    </row>
    <row r="89" spans="1:2" ht="19.5" customHeight="1">
      <c r="A89" s="17"/>
      <c r="B89" s="4"/>
    </row>
    <row r="90" spans="1:2" ht="19.5" customHeight="1">
      <c r="A90" s="17"/>
      <c r="B90" s="4"/>
    </row>
    <row r="91" spans="1:2" ht="19.5" customHeight="1">
      <c r="A91" s="17"/>
      <c r="B91" s="4"/>
    </row>
    <row r="92" spans="1:2" ht="19.5" customHeight="1">
      <c r="A92" s="17"/>
      <c r="B92" s="4"/>
    </row>
    <row r="93" spans="1:2" ht="19.5" customHeight="1">
      <c r="A93" s="17"/>
      <c r="B93" s="4"/>
    </row>
    <row r="94" spans="1:2" ht="19.5" customHeight="1">
      <c r="A94" s="17"/>
      <c r="B94" s="4"/>
    </row>
    <row r="95" spans="1:2" ht="19.5" customHeight="1">
      <c r="A95" s="17"/>
      <c r="B95" s="4"/>
    </row>
    <row r="96" spans="1:2" ht="19.5" customHeight="1">
      <c r="A96" s="17"/>
      <c r="B96" s="4"/>
    </row>
    <row r="97" spans="1:2" ht="19.5" customHeight="1">
      <c r="A97" s="17"/>
      <c r="B97" s="4"/>
    </row>
    <row r="98" spans="1:2" ht="19.5" customHeight="1">
      <c r="A98" s="17"/>
      <c r="B98" s="4"/>
    </row>
    <row r="99" spans="1:2" ht="19.5" customHeight="1">
      <c r="A99" s="17"/>
      <c r="B99" s="4"/>
    </row>
    <row r="100" spans="1:2" ht="19.5" customHeight="1">
      <c r="A100" s="17"/>
      <c r="B100" s="4"/>
    </row>
    <row r="101" spans="1:2" ht="19.5" customHeight="1">
      <c r="A101" s="17"/>
      <c r="B101" s="4"/>
    </row>
    <row r="102" spans="1:2" ht="19.5" customHeight="1">
      <c r="A102" s="17"/>
      <c r="B102" s="4"/>
    </row>
    <row r="103" spans="1:2" ht="19.5" customHeight="1">
      <c r="A103" s="17"/>
      <c r="B103" s="4"/>
    </row>
    <row r="104" spans="1:2" ht="19.5" customHeight="1">
      <c r="A104" s="17"/>
      <c r="B104" s="4"/>
    </row>
    <row r="105" spans="1:2" ht="19.5" customHeight="1">
      <c r="A105" s="17"/>
      <c r="B105" s="4"/>
    </row>
    <row r="106" spans="1:2" ht="19.5" customHeight="1">
      <c r="A106" s="17"/>
      <c r="B106" s="4"/>
    </row>
    <row r="107" spans="1:2" ht="19.5" customHeight="1">
      <c r="A107" s="17"/>
      <c r="B107" s="4"/>
    </row>
    <row r="108" spans="1:2" ht="19.5" customHeight="1">
      <c r="A108" s="17"/>
      <c r="B108" s="4"/>
    </row>
    <row r="109" spans="1:2" ht="19.5" customHeight="1">
      <c r="A109" s="17"/>
      <c r="B109" s="4"/>
    </row>
    <row r="110" spans="1:2" ht="19.5" customHeight="1">
      <c r="A110" s="17"/>
      <c r="B110" s="4"/>
    </row>
    <row r="111" spans="1:2" ht="19.5" customHeight="1">
      <c r="A111" s="17"/>
      <c r="B111" s="4"/>
    </row>
    <row r="112" spans="1:2" ht="19.5" customHeight="1">
      <c r="A112" s="17"/>
      <c r="B112" s="4"/>
    </row>
    <row r="113" spans="1:2" ht="19.5" customHeight="1">
      <c r="A113" s="17"/>
      <c r="B113" s="4"/>
    </row>
    <row r="114" spans="1:2" ht="19.5" customHeight="1">
      <c r="A114" s="17"/>
      <c r="B114" s="4"/>
    </row>
    <row r="115" spans="1:2" ht="19.5" customHeight="1">
      <c r="A115" s="17"/>
      <c r="B115" s="4"/>
    </row>
    <row r="116" spans="1:2" ht="19.5" customHeight="1">
      <c r="A116" s="17"/>
      <c r="B116" s="4"/>
    </row>
    <row r="117" spans="1:2" ht="19.5" customHeight="1">
      <c r="A117" s="17"/>
      <c r="B117" s="4"/>
    </row>
    <row r="118" spans="1:2" ht="19.5" customHeight="1">
      <c r="A118" s="17"/>
      <c r="B118" s="4"/>
    </row>
    <row r="119" spans="1:2" ht="19.5" customHeight="1">
      <c r="A119" s="17"/>
      <c r="B119" s="4"/>
    </row>
    <row r="120" spans="1:2" ht="19.5" customHeight="1">
      <c r="A120" s="17"/>
      <c r="B120" s="4"/>
    </row>
    <row r="121" spans="1:2" ht="19.5" customHeight="1">
      <c r="A121" s="17"/>
      <c r="B121" s="4"/>
    </row>
    <row r="122" spans="1:2" ht="19.5" customHeight="1">
      <c r="A122" s="17"/>
      <c r="B122" s="4"/>
    </row>
    <row r="123" spans="1:2" ht="19.5" customHeight="1">
      <c r="A123" s="17"/>
      <c r="B123" s="4"/>
    </row>
    <row r="124" spans="1:2" ht="19.5" customHeight="1">
      <c r="A124" s="17"/>
      <c r="B124" s="4"/>
    </row>
    <row r="125" spans="1:2" ht="19.5" customHeight="1">
      <c r="A125" s="17"/>
      <c r="B125" s="4"/>
    </row>
    <row r="126" spans="1:2" ht="19.5" customHeight="1">
      <c r="A126" s="17"/>
      <c r="B126" s="4"/>
    </row>
    <row r="127" spans="1:2" ht="19.5" customHeight="1">
      <c r="A127" s="17"/>
      <c r="B127" s="4"/>
    </row>
    <row r="128" spans="1:2" ht="19.5" customHeight="1">
      <c r="A128" s="17"/>
      <c r="B128" s="4"/>
    </row>
    <row r="129" spans="1:2" ht="19.5" customHeight="1">
      <c r="A129" s="17"/>
      <c r="B129" s="4"/>
    </row>
    <row r="130" spans="1:2" ht="19.5" customHeight="1">
      <c r="A130" s="17"/>
      <c r="B130" s="4"/>
    </row>
    <row r="131" spans="1:2" ht="19.5" customHeight="1">
      <c r="A131" s="17"/>
      <c r="B131" s="4"/>
    </row>
    <row r="132" spans="1:2" ht="19.5" customHeight="1">
      <c r="A132" s="17"/>
      <c r="B132" s="4"/>
    </row>
    <row r="133" spans="1:2" ht="19.5" customHeight="1">
      <c r="A133" s="17"/>
      <c r="B133" s="4"/>
    </row>
    <row r="134" spans="1:2" ht="19.5" customHeight="1">
      <c r="A134" s="17"/>
      <c r="B134" s="4"/>
    </row>
    <row r="135" spans="1:2" ht="19.5" customHeight="1">
      <c r="A135" s="17"/>
      <c r="B135" s="4"/>
    </row>
    <row r="136" spans="1:2" ht="19.5" customHeight="1">
      <c r="A136" s="17"/>
      <c r="B136" s="4"/>
    </row>
    <row r="137" spans="1:2" ht="19.5" customHeight="1">
      <c r="A137" s="17"/>
      <c r="B137" s="4"/>
    </row>
    <row r="138" spans="1:2" ht="19.5" customHeight="1">
      <c r="A138" s="17"/>
      <c r="B138" s="4"/>
    </row>
    <row r="139" spans="1:2" ht="19.5" customHeight="1">
      <c r="A139" s="17"/>
      <c r="B139" s="4"/>
    </row>
    <row r="140" spans="1:2" ht="19.5" customHeight="1">
      <c r="A140" s="17"/>
      <c r="B140" s="4"/>
    </row>
    <row r="141" spans="1:2" ht="19.5" customHeight="1">
      <c r="A141" s="17"/>
      <c r="B141" s="4"/>
    </row>
    <row r="142" spans="1:2" ht="19.5" customHeight="1">
      <c r="A142" s="17"/>
      <c r="B142" s="4"/>
    </row>
    <row r="143" spans="1:2" ht="19.5" customHeight="1">
      <c r="A143" s="17"/>
      <c r="B143" s="4"/>
    </row>
    <row r="144" spans="1:2" ht="19.5" customHeight="1">
      <c r="A144" s="17"/>
      <c r="B144" s="4"/>
    </row>
    <row r="145" spans="1:2" ht="19.5" customHeight="1">
      <c r="A145" s="17"/>
      <c r="B145" s="4"/>
    </row>
    <row r="146" spans="1:2" ht="19.5" customHeight="1">
      <c r="A146" s="17"/>
      <c r="B146" s="4"/>
    </row>
    <row r="147" spans="1:2" ht="19.5" customHeight="1">
      <c r="A147" s="17"/>
      <c r="B147" s="4"/>
    </row>
    <row r="148" spans="1:2" ht="19.5" customHeight="1">
      <c r="A148" s="17"/>
      <c r="B148" s="4"/>
    </row>
    <row r="149" spans="1:2" ht="19.5" customHeight="1">
      <c r="A149" s="17"/>
      <c r="B149" s="4"/>
    </row>
    <row r="150" spans="1:2" ht="19.5" customHeight="1">
      <c r="A150" s="17"/>
      <c r="B150" s="4"/>
    </row>
    <row r="151" spans="1:2" ht="19.5" customHeight="1">
      <c r="A151" s="17"/>
      <c r="B151" s="4"/>
    </row>
    <row r="152" spans="1:2" ht="19.5" customHeight="1">
      <c r="A152" s="17"/>
      <c r="B152" s="4"/>
    </row>
    <row r="153" spans="1:2" ht="19.5" customHeight="1">
      <c r="A153" s="17"/>
      <c r="B153" s="4"/>
    </row>
    <row r="154" spans="1:2" ht="19.5" customHeight="1">
      <c r="A154" s="17"/>
      <c r="B154" s="4"/>
    </row>
    <row r="155" spans="1:2" ht="19.5" customHeight="1">
      <c r="A155" s="17"/>
      <c r="B155" s="4"/>
    </row>
    <row r="156" spans="1:2" ht="19.5" customHeight="1">
      <c r="A156" s="17"/>
      <c r="B156" s="4"/>
    </row>
  </sheetData>
  <sheetProtection selectLockedCells="1" selectUnlockedCells="1"/>
  <mergeCells count="3">
    <mergeCell ref="A2:A3"/>
    <mergeCell ref="B2:B3"/>
    <mergeCell ref="C2:O2"/>
  </mergeCells>
  <pageMargins left="0.39374999999999999" right="0.39374999999999999" top="0.65902777777777777" bottom="0.65902777777777777" header="0.39374999999999999" footer="0.39374999999999999"/>
  <pageSetup paperSize="9" firstPageNumber="0" orientation="landscape" horizontalDpi="300" verticalDpi="300"/>
  <headerFooter alignWithMargins="0">
    <oddHeader>&amp;C&amp;"Times New Roman,Обычный"&amp;12&amp;A</oddHeader>
    <oddFooter>&amp;C&amp;"Times New Roman,Обычный"&amp;12Страница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2"/>
  <sheetViews>
    <sheetView tabSelected="1" zoomScale="78" zoomScaleNormal="78" workbookViewId="0">
      <selection activeCell="K1" sqref="K1"/>
    </sheetView>
  </sheetViews>
  <sheetFormatPr defaultColWidth="11.5546875" defaultRowHeight="15.6"/>
  <cols>
    <col min="1" max="1" width="5" style="18" customWidth="1"/>
    <col min="2" max="2" width="42.44140625" style="19" customWidth="1"/>
    <col min="3" max="3" width="12.88671875" style="20" customWidth="1"/>
    <col min="4" max="4" width="12.5546875" style="20" customWidth="1"/>
    <col min="5" max="5" width="10" style="20" customWidth="1"/>
    <col min="6" max="6" width="9.6640625" style="18" customWidth="1"/>
    <col min="7" max="7" width="10.77734375" style="21" customWidth="1"/>
    <col min="8" max="8" width="10.88671875" customWidth="1"/>
    <col min="9" max="9" width="16.109375" customWidth="1"/>
    <col min="10" max="10" width="10.33203125" customWidth="1"/>
    <col min="11" max="243" width="8.88671875" customWidth="1"/>
  </cols>
  <sheetData>
    <row r="1" spans="1:10" ht="28.2">
      <c r="B1" s="22" t="s">
        <v>38</v>
      </c>
      <c r="C1" s="23"/>
      <c r="D1" s="23"/>
      <c r="F1" s="24"/>
      <c r="H1" s="25"/>
      <c r="I1" s="25"/>
      <c r="J1" s="25"/>
    </row>
    <row r="2" spans="1:10" ht="88.5" customHeight="1">
      <c r="A2" s="26" t="s">
        <v>39</v>
      </c>
      <c r="B2" s="27" t="s">
        <v>40</v>
      </c>
      <c r="C2" s="28" t="s">
        <v>41</v>
      </c>
      <c r="D2" s="28" t="s">
        <v>42</v>
      </c>
      <c r="E2" s="28" t="s">
        <v>43</v>
      </c>
      <c r="F2" s="28" t="s">
        <v>44</v>
      </c>
      <c r="G2" s="28" t="s">
        <v>45</v>
      </c>
      <c r="H2" s="28" t="s">
        <v>46</v>
      </c>
      <c r="I2" s="28" t="s">
        <v>47</v>
      </c>
      <c r="J2" s="28" t="s">
        <v>48</v>
      </c>
    </row>
    <row r="3" spans="1:10" ht="14.1" customHeight="1">
      <c r="A3" s="29">
        <v>1</v>
      </c>
      <c r="B3" s="29">
        <v>2</v>
      </c>
      <c r="C3" s="30" t="s">
        <v>49</v>
      </c>
      <c r="D3" s="30">
        <v>4</v>
      </c>
      <c r="E3" s="30">
        <v>5</v>
      </c>
      <c r="F3" s="29" t="s">
        <v>50</v>
      </c>
      <c r="G3" s="30" t="s">
        <v>51</v>
      </c>
      <c r="H3" s="31" t="s">
        <v>52</v>
      </c>
      <c r="I3" s="31" t="s">
        <v>53</v>
      </c>
      <c r="J3" s="31" t="s">
        <v>54</v>
      </c>
    </row>
    <row r="4" spans="1:10" ht="15.6" customHeight="1">
      <c r="A4" s="99" t="s">
        <v>55</v>
      </c>
      <c r="B4" s="99"/>
      <c r="C4" s="99"/>
      <c r="D4" s="99"/>
      <c r="E4" s="99"/>
      <c r="F4" s="99"/>
      <c r="G4" s="99"/>
      <c r="H4" s="99"/>
      <c r="I4" s="99"/>
      <c r="J4" s="99"/>
    </row>
    <row r="5" spans="1:10" s="36" customFormat="1" ht="14.1" customHeight="1">
      <c r="A5" s="28"/>
      <c r="B5" s="28" t="s">
        <v>56</v>
      </c>
      <c r="C5" s="32"/>
      <c r="D5" s="33"/>
      <c r="E5" s="33"/>
      <c r="F5" s="32"/>
      <c r="G5" s="34"/>
      <c r="H5" s="35"/>
      <c r="I5" s="35"/>
      <c r="J5" s="35"/>
    </row>
    <row r="6" spans="1:10" s="36" customFormat="1" ht="39.6">
      <c r="A6" s="37" t="s">
        <v>57</v>
      </c>
      <c r="B6" s="38" t="s">
        <v>58</v>
      </c>
      <c r="C6" s="39">
        <f>F6+H6+J6</f>
        <v>0</v>
      </c>
      <c r="D6" s="40">
        <f t="shared" ref="D6:D11" si="0">G6+I6</f>
        <v>0</v>
      </c>
      <c r="E6" s="28">
        <v>24</v>
      </c>
      <c r="F6" s="39">
        <v>0</v>
      </c>
      <c r="G6" s="34">
        <f t="shared" ref="G6:G21" si="1">F6*E6</f>
        <v>0</v>
      </c>
      <c r="H6" s="39">
        <v>0</v>
      </c>
      <c r="I6" s="39">
        <v>0</v>
      </c>
      <c r="J6" s="39">
        <v>0</v>
      </c>
    </row>
    <row r="7" spans="1:10" s="36" customFormat="1" ht="30">
      <c r="A7" s="37" t="s">
        <v>59</v>
      </c>
      <c r="B7" s="38" t="s">
        <v>60</v>
      </c>
      <c r="C7" s="41">
        <v>1312</v>
      </c>
      <c r="D7" s="40">
        <f t="shared" si="0"/>
        <v>13158.08</v>
      </c>
      <c r="E7" s="28">
        <v>12</v>
      </c>
      <c r="F7" s="42">
        <f>C7-J7-H7</f>
        <v>1086</v>
      </c>
      <c r="G7" s="43">
        <f t="shared" si="1"/>
        <v>13032</v>
      </c>
      <c r="H7" s="44">
        <v>18</v>
      </c>
      <c r="I7" s="45">
        <v>126.08</v>
      </c>
      <c r="J7" s="46">
        <v>208</v>
      </c>
    </row>
    <row r="8" spans="1:10" s="36" customFormat="1" ht="39.6">
      <c r="A8" s="37" t="s">
        <v>61</v>
      </c>
      <c r="B8" s="38" t="s">
        <v>62</v>
      </c>
      <c r="C8" s="41">
        <v>285</v>
      </c>
      <c r="D8" s="40">
        <f t="shared" si="0"/>
        <v>2383.35</v>
      </c>
      <c r="E8" s="28">
        <v>10</v>
      </c>
      <c r="F8" s="42">
        <f>C8-J8-H8</f>
        <v>236</v>
      </c>
      <c r="G8" s="43">
        <f t="shared" si="1"/>
        <v>2360</v>
      </c>
      <c r="H8" s="44">
        <v>4</v>
      </c>
      <c r="I8" s="45">
        <v>23.35</v>
      </c>
      <c r="J8" s="46">
        <v>45</v>
      </c>
    </row>
    <row r="9" spans="1:10" s="36" customFormat="1" ht="58.8">
      <c r="A9" s="37" t="s">
        <v>63</v>
      </c>
      <c r="B9" s="38" t="s">
        <v>64</v>
      </c>
      <c r="C9" s="41">
        <v>574</v>
      </c>
      <c r="D9" s="40">
        <f t="shared" si="0"/>
        <v>5744.03</v>
      </c>
      <c r="E9" s="28">
        <v>12</v>
      </c>
      <c r="F9" s="42">
        <f>C9-J9-H9</f>
        <v>474</v>
      </c>
      <c r="G9" s="43">
        <f t="shared" si="1"/>
        <v>5688</v>
      </c>
      <c r="H9" s="44">
        <v>8</v>
      </c>
      <c r="I9" s="45">
        <v>56.03</v>
      </c>
      <c r="J9" s="46">
        <v>92</v>
      </c>
    </row>
    <row r="10" spans="1:10" s="36" customFormat="1" ht="26.4">
      <c r="A10" s="37" t="s">
        <v>65</v>
      </c>
      <c r="B10" s="38" t="s">
        <v>66</v>
      </c>
      <c r="C10" s="41">
        <v>464</v>
      </c>
      <c r="D10" s="40">
        <f t="shared" si="0"/>
        <v>1695.02</v>
      </c>
      <c r="E10" s="28">
        <v>4.5</v>
      </c>
      <c r="F10" s="42">
        <f>C10-J10-H10</f>
        <v>372</v>
      </c>
      <c r="G10" s="43">
        <f t="shared" si="1"/>
        <v>1674</v>
      </c>
      <c r="H10" s="44">
        <v>8</v>
      </c>
      <c r="I10" s="45">
        <v>21.02</v>
      </c>
      <c r="J10" s="46">
        <v>84</v>
      </c>
    </row>
    <row r="11" spans="1:10" s="36" customFormat="1" ht="16.8">
      <c r="A11" s="37" t="s">
        <v>67</v>
      </c>
      <c r="B11" s="38" t="s">
        <v>68</v>
      </c>
      <c r="C11" s="41">
        <v>65</v>
      </c>
      <c r="D11" s="40">
        <f t="shared" si="0"/>
        <v>369</v>
      </c>
      <c r="E11" s="28">
        <v>9</v>
      </c>
      <c r="F11" s="42">
        <f>C11-J11-H11</f>
        <v>41</v>
      </c>
      <c r="G11" s="43">
        <f t="shared" si="1"/>
        <v>369</v>
      </c>
      <c r="H11" s="44"/>
      <c r="I11" s="45"/>
      <c r="J11" s="46">
        <v>24</v>
      </c>
    </row>
    <row r="12" spans="1:10" s="36" customFormat="1">
      <c r="A12" s="37" t="s">
        <v>69</v>
      </c>
      <c r="B12" s="38" t="s">
        <v>70</v>
      </c>
      <c r="C12" s="40"/>
      <c r="D12" s="40">
        <v>0</v>
      </c>
      <c r="E12" s="28">
        <v>12</v>
      </c>
      <c r="F12" s="47">
        <v>0</v>
      </c>
      <c r="G12" s="34">
        <f t="shared" si="1"/>
        <v>0</v>
      </c>
      <c r="H12" s="48"/>
      <c r="I12" s="48"/>
      <c r="J12" s="48"/>
    </row>
    <row r="13" spans="1:10" s="36" customFormat="1" ht="26.4">
      <c r="A13" s="37"/>
      <c r="B13" s="38" t="s">
        <v>71</v>
      </c>
      <c r="C13" s="41">
        <v>4</v>
      </c>
      <c r="D13" s="40">
        <f t="shared" ref="D13:D21" si="2">G13+I13</f>
        <v>48</v>
      </c>
      <c r="E13" s="28">
        <v>12</v>
      </c>
      <c r="F13" s="42">
        <f>C13-J13-H13</f>
        <v>4</v>
      </c>
      <c r="G13" s="43">
        <f t="shared" si="1"/>
        <v>48</v>
      </c>
      <c r="H13" s="44"/>
      <c r="I13" s="45"/>
      <c r="J13" s="46"/>
    </row>
    <row r="14" spans="1:10" s="36" customFormat="1" ht="26.4">
      <c r="A14" s="37" t="s">
        <v>72</v>
      </c>
      <c r="B14" s="49" t="s">
        <v>73</v>
      </c>
      <c r="C14" s="41">
        <v>146</v>
      </c>
      <c r="D14" s="40">
        <f t="shared" si="2"/>
        <v>1466.01</v>
      </c>
      <c r="E14" s="28">
        <v>12</v>
      </c>
      <c r="F14" s="42">
        <f>C14-J14-H14</f>
        <v>121</v>
      </c>
      <c r="G14" s="43">
        <f t="shared" si="1"/>
        <v>1452</v>
      </c>
      <c r="H14" s="44">
        <v>2</v>
      </c>
      <c r="I14" s="45">
        <v>14.01</v>
      </c>
      <c r="J14" s="46">
        <v>23</v>
      </c>
    </row>
    <row r="15" spans="1:10" s="36" customFormat="1" ht="36.450000000000003" customHeight="1">
      <c r="A15" s="37" t="s">
        <v>74</v>
      </c>
      <c r="B15" s="38" t="s">
        <v>75</v>
      </c>
      <c r="C15" s="40"/>
      <c r="D15" s="40">
        <f t="shared" si="2"/>
        <v>0</v>
      </c>
      <c r="E15" s="28">
        <v>17.5</v>
      </c>
      <c r="F15" s="47">
        <v>0</v>
      </c>
      <c r="G15" s="34">
        <f t="shared" si="1"/>
        <v>0</v>
      </c>
      <c r="H15" s="48"/>
      <c r="I15" s="48"/>
      <c r="J15" s="48"/>
    </row>
    <row r="16" spans="1:10" s="36" customFormat="1" ht="36.450000000000003" customHeight="1">
      <c r="A16" s="37" t="s">
        <v>76</v>
      </c>
      <c r="B16" s="38" t="s">
        <v>77</v>
      </c>
      <c r="C16" s="40"/>
      <c r="D16" s="40">
        <f t="shared" si="2"/>
        <v>0</v>
      </c>
      <c r="E16" s="28">
        <v>12</v>
      </c>
      <c r="F16" s="47">
        <v>0</v>
      </c>
      <c r="G16" s="34">
        <f t="shared" si="1"/>
        <v>0</v>
      </c>
      <c r="H16" s="48"/>
      <c r="I16" s="48"/>
      <c r="J16" s="48"/>
    </row>
    <row r="17" spans="1:10" s="36" customFormat="1" ht="36.450000000000003" customHeight="1">
      <c r="A17" s="50" t="s">
        <v>78</v>
      </c>
      <c r="B17" s="51" t="s">
        <v>79</v>
      </c>
      <c r="C17" s="40"/>
      <c r="D17" s="40">
        <f t="shared" si="2"/>
        <v>0</v>
      </c>
      <c r="E17" s="28">
        <v>0</v>
      </c>
      <c r="F17" s="52">
        <v>0</v>
      </c>
      <c r="G17" s="34">
        <f t="shared" si="1"/>
        <v>0</v>
      </c>
      <c r="H17" s="48"/>
      <c r="I17" s="48"/>
      <c r="J17" s="48"/>
    </row>
    <row r="18" spans="1:10" s="36" customFormat="1" ht="36.450000000000003" customHeight="1">
      <c r="A18" s="37" t="s">
        <v>78</v>
      </c>
      <c r="B18" s="38" t="s">
        <v>80</v>
      </c>
      <c r="C18" s="40"/>
      <c r="D18" s="40">
        <f t="shared" si="2"/>
        <v>0</v>
      </c>
      <c r="E18" s="28">
        <v>12</v>
      </c>
      <c r="F18" s="47">
        <v>0</v>
      </c>
      <c r="G18" s="34">
        <f t="shared" si="1"/>
        <v>0</v>
      </c>
      <c r="H18" s="48"/>
      <c r="I18" s="48"/>
      <c r="J18" s="48"/>
    </row>
    <row r="19" spans="1:10" s="36" customFormat="1" ht="36.450000000000003" customHeight="1">
      <c r="A19" s="37" t="s">
        <v>81</v>
      </c>
      <c r="B19" s="38" t="s">
        <v>82</v>
      </c>
      <c r="C19" s="40"/>
      <c r="D19" s="40">
        <f t="shared" si="2"/>
        <v>0</v>
      </c>
      <c r="E19" s="28">
        <v>12</v>
      </c>
      <c r="F19" s="47">
        <v>0</v>
      </c>
      <c r="G19" s="34">
        <f t="shared" si="1"/>
        <v>0</v>
      </c>
      <c r="H19" s="48"/>
      <c r="I19" s="48"/>
      <c r="J19" s="48"/>
    </row>
    <row r="20" spans="1:10" s="36" customFormat="1" ht="17.100000000000001" customHeight="1">
      <c r="A20" s="37" t="s">
        <v>83</v>
      </c>
      <c r="B20" s="49" t="s">
        <v>84</v>
      </c>
      <c r="C20" s="41">
        <v>143</v>
      </c>
      <c r="D20" s="40">
        <f t="shared" si="2"/>
        <v>5720.03</v>
      </c>
      <c r="E20" s="28">
        <v>48</v>
      </c>
      <c r="F20" s="42">
        <f>C20-H20-J20</f>
        <v>118</v>
      </c>
      <c r="G20" s="43">
        <f t="shared" si="1"/>
        <v>5664</v>
      </c>
      <c r="H20" s="44">
        <v>2</v>
      </c>
      <c r="I20" s="45">
        <v>56.03</v>
      </c>
      <c r="J20" s="46">
        <v>23</v>
      </c>
    </row>
    <row r="21" spans="1:10" s="36" customFormat="1" ht="41.85" customHeight="1">
      <c r="A21" s="37" t="s">
        <v>85</v>
      </c>
      <c r="B21" s="49" t="s">
        <v>86</v>
      </c>
      <c r="C21" s="41">
        <v>20</v>
      </c>
      <c r="D21" s="40">
        <f t="shared" si="2"/>
        <v>56.8</v>
      </c>
      <c r="E21" s="28">
        <v>4.5</v>
      </c>
      <c r="F21" s="42">
        <f>C21-J21-H21</f>
        <v>12</v>
      </c>
      <c r="G21" s="43">
        <f t="shared" si="1"/>
        <v>54</v>
      </c>
      <c r="H21" s="44">
        <v>2</v>
      </c>
      <c r="I21" s="45">
        <v>2.8</v>
      </c>
      <c r="J21" s="46">
        <v>6</v>
      </c>
    </row>
    <row r="22" spans="1:10" s="36" customFormat="1" ht="13.35" customHeight="1">
      <c r="A22" s="53"/>
      <c r="B22" s="49" t="s">
        <v>87</v>
      </c>
      <c r="C22" s="28">
        <f>SUM(C6:C21)</f>
        <v>3013</v>
      </c>
      <c r="D22" s="28">
        <f>SUM(D6:D21)</f>
        <v>30640.319999999996</v>
      </c>
      <c r="E22" s="28">
        <v>0</v>
      </c>
      <c r="F22" s="54">
        <f>SUM(F6:F21)</f>
        <v>2464</v>
      </c>
      <c r="G22" s="28">
        <f>SUM(G6:G21)</f>
        <v>30341</v>
      </c>
      <c r="H22" s="55"/>
      <c r="I22" s="55"/>
      <c r="J22" s="55"/>
    </row>
    <row r="23" spans="1:10" s="36" customFormat="1" ht="15.6" customHeight="1">
      <c r="A23" s="37"/>
      <c r="B23" s="56" t="s">
        <v>88</v>
      </c>
      <c r="C23" s="33"/>
      <c r="D23" s="33"/>
      <c r="E23" s="33"/>
      <c r="F23" s="32"/>
      <c r="G23" s="34"/>
      <c r="H23" s="55"/>
      <c r="I23" s="55"/>
      <c r="J23" s="55"/>
    </row>
    <row r="24" spans="1:10" s="36" customFormat="1" ht="61.95" customHeight="1">
      <c r="A24" s="37" t="s">
        <v>89</v>
      </c>
      <c r="B24" s="38" t="s">
        <v>90</v>
      </c>
      <c r="C24" s="41">
        <v>146</v>
      </c>
      <c r="D24" s="40">
        <f>G24+I24</f>
        <v>1221.67</v>
      </c>
      <c r="E24" s="28">
        <v>10</v>
      </c>
      <c r="F24" s="42">
        <f>C24-J24-H24</f>
        <v>121</v>
      </c>
      <c r="G24" s="43">
        <f>F24*E24</f>
        <v>1210</v>
      </c>
      <c r="H24" s="44">
        <v>2</v>
      </c>
      <c r="I24" s="45">
        <v>11.67</v>
      </c>
      <c r="J24" s="46">
        <v>23</v>
      </c>
    </row>
    <row r="25" spans="1:10" s="36" customFormat="1">
      <c r="A25" s="53"/>
      <c r="B25" s="49" t="s">
        <v>87</v>
      </c>
      <c r="C25" s="33">
        <f>C24</f>
        <v>146</v>
      </c>
      <c r="D25" s="33">
        <f>G25+I25</f>
        <v>1210</v>
      </c>
      <c r="E25" s="33">
        <v>0</v>
      </c>
      <c r="F25" s="39">
        <f>F24</f>
        <v>121</v>
      </c>
      <c r="G25" s="34">
        <f>G24</f>
        <v>1210</v>
      </c>
      <c r="H25" s="55"/>
      <c r="I25" s="55"/>
      <c r="J25" s="55"/>
    </row>
    <row r="26" spans="1:10" s="36" customFormat="1">
      <c r="A26" s="37"/>
      <c r="B26" s="56" t="s">
        <v>91</v>
      </c>
      <c r="C26" s="33"/>
      <c r="D26" s="33"/>
      <c r="E26" s="33"/>
      <c r="F26" s="39"/>
      <c r="G26" s="34"/>
      <c r="H26" s="55"/>
      <c r="I26" s="55"/>
      <c r="J26" s="55"/>
    </row>
    <row r="27" spans="1:10" s="36" customFormat="1" ht="79.2">
      <c r="A27" s="50" t="s">
        <v>92</v>
      </c>
      <c r="B27" s="51" t="s">
        <v>93</v>
      </c>
      <c r="C27" s="57">
        <v>4</v>
      </c>
      <c r="D27" s="40">
        <f>G27+I27</f>
        <v>30</v>
      </c>
      <c r="E27" s="28">
        <v>10</v>
      </c>
      <c r="F27" s="42">
        <f>C27-J27-H27</f>
        <v>3</v>
      </c>
      <c r="G27" s="34">
        <f>F27*E27</f>
        <v>30</v>
      </c>
      <c r="H27" s="55"/>
      <c r="I27" s="55"/>
      <c r="J27" s="55">
        <v>1</v>
      </c>
    </row>
    <row r="28" spans="1:10" s="36" customFormat="1" ht="11.85" customHeight="1">
      <c r="A28" s="53"/>
      <c r="B28" s="49" t="s">
        <v>87</v>
      </c>
      <c r="C28" s="28">
        <f>C27</f>
        <v>4</v>
      </c>
      <c r="D28" s="28">
        <f>D24+D27</f>
        <v>1251.67</v>
      </c>
      <c r="E28" s="28">
        <f>E24</f>
        <v>10</v>
      </c>
      <c r="F28" s="54">
        <f>F27</f>
        <v>3</v>
      </c>
      <c r="G28" s="33">
        <f>G27</f>
        <v>30</v>
      </c>
      <c r="H28" s="55"/>
      <c r="I28" s="55"/>
      <c r="J28" s="55"/>
    </row>
    <row r="29" spans="1:10" s="36" customFormat="1" ht="11.85" customHeight="1">
      <c r="A29" s="37"/>
      <c r="B29" s="56" t="s">
        <v>94</v>
      </c>
      <c r="C29" s="33"/>
      <c r="D29" s="33"/>
      <c r="E29" s="33"/>
      <c r="F29" s="32"/>
      <c r="G29" s="34"/>
      <c r="H29" s="55"/>
      <c r="I29" s="55"/>
      <c r="J29" s="55"/>
    </row>
    <row r="30" spans="1:10" s="36" customFormat="1" ht="36.6" customHeight="1">
      <c r="A30" s="37" t="s">
        <v>95</v>
      </c>
      <c r="B30" s="38" t="s">
        <v>96</v>
      </c>
      <c r="C30" s="41">
        <v>146</v>
      </c>
      <c r="D30" s="40">
        <f>G30+I30</f>
        <v>2565.52</v>
      </c>
      <c r="E30" s="28">
        <v>21</v>
      </c>
      <c r="F30" s="42">
        <f>C30-J30-H30</f>
        <v>121</v>
      </c>
      <c r="G30" s="43">
        <f>F30*E30</f>
        <v>2541</v>
      </c>
      <c r="H30" s="44">
        <v>2</v>
      </c>
      <c r="I30" s="45">
        <v>24.52</v>
      </c>
      <c r="J30" s="46">
        <v>23</v>
      </c>
    </row>
    <row r="31" spans="1:10" s="36" customFormat="1" ht="11.85" customHeight="1">
      <c r="A31" s="53"/>
      <c r="B31" s="58" t="s">
        <v>87</v>
      </c>
      <c r="C31" s="28">
        <f>C30</f>
        <v>146</v>
      </c>
      <c r="D31" s="28">
        <f>D30</f>
        <v>2565.52</v>
      </c>
      <c r="E31" s="28">
        <f>E30</f>
        <v>21</v>
      </c>
      <c r="F31" s="28">
        <f>F30</f>
        <v>121</v>
      </c>
      <c r="G31" s="28">
        <f>G30</f>
        <v>2541</v>
      </c>
      <c r="H31" s="59"/>
      <c r="I31" s="59"/>
      <c r="J31" s="59"/>
    </row>
    <row r="32" spans="1:10" hidden="1">
      <c r="A32" s="50"/>
      <c r="B32" s="60" t="s">
        <v>97</v>
      </c>
      <c r="C32" s="61"/>
      <c r="D32" s="61"/>
      <c r="E32" s="61"/>
      <c r="F32" s="62"/>
      <c r="G32" s="34"/>
      <c r="H32" s="63"/>
      <c r="I32" s="63"/>
      <c r="J32" s="63"/>
    </row>
    <row r="33" spans="1:10" ht="124.8" hidden="1">
      <c r="A33" s="50" t="s">
        <v>98</v>
      </c>
      <c r="B33" s="64" t="s">
        <v>99</v>
      </c>
      <c r="C33" s="65"/>
      <c r="D33" s="65"/>
      <c r="E33" s="65"/>
      <c r="F33" s="52"/>
      <c r="G33" s="34"/>
      <c r="H33" s="63"/>
      <c r="I33" s="63"/>
      <c r="J33" s="63"/>
    </row>
    <row r="34" spans="1:10" hidden="1">
      <c r="A34" s="53"/>
      <c r="B34" s="66" t="s">
        <v>87</v>
      </c>
      <c r="C34" s="67"/>
      <c r="D34" s="67"/>
      <c r="E34" s="67"/>
      <c r="F34" s="68"/>
      <c r="G34" s="33"/>
      <c r="H34" s="63"/>
      <c r="I34" s="63"/>
      <c r="J34" s="63"/>
    </row>
    <row r="35" spans="1:10" ht="12.75" hidden="1" customHeight="1">
      <c r="A35" s="100" t="s">
        <v>100</v>
      </c>
      <c r="B35" s="100"/>
      <c r="C35" s="100"/>
      <c r="D35" s="100"/>
      <c r="E35" s="100"/>
      <c r="F35" s="100"/>
      <c r="G35" s="100"/>
      <c r="H35" s="63"/>
      <c r="I35" s="63"/>
      <c r="J35" s="63"/>
    </row>
    <row r="36" spans="1:10" hidden="1">
      <c r="A36" s="69"/>
      <c r="B36" s="70" t="s">
        <v>88</v>
      </c>
      <c r="C36" s="71"/>
      <c r="D36" s="71"/>
      <c r="E36" s="71"/>
      <c r="F36" s="32"/>
      <c r="G36" s="34"/>
      <c r="H36" s="63"/>
      <c r="I36" s="63"/>
      <c r="J36" s="63"/>
    </row>
    <row r="37" spans="1:10" ht="46.8" hidden="1">
      <c r="A37" s="69">
        <v>1</v>
      </c>
      <c r="B37" s="72" t="s">
        <v>101</v>
      </c>
      <c r="C37" s="73"/>
      <c r="D37" s="73"/>
      <c r="E37" s="73"/>
      <c r="F37" s="47"/>
      <c r="G37" s="34"/>
      <c r="H37" s="63"/>
      <c r="I37" s="63"/>
      <c r="J37" s="63"/>
    </row>
    <row r="38" spans="1:10" ht="78" hidden="1">
      <c r="A38" s="69">
        <v>2</v>
      </c>
      <c r="B38" s="72" t="s">
        <v>13</v>
      </c>
      <c r="C38" s="73"/>
      <c r="D38" s="73"/>
      <c r="E38" s="73"/>
      <c r="F38" s="47"/>
      <c r="G38" s="34"/>
      <c r="H38" s="63"/>
      <c r="I38" s="63"/>
      <c r="J38" s="63"/>
    </row>
    <row r="39" spans="1:10" hidden="1">
      <c r="A39" s="74"/>
      <c r="B39" s="75" t="s">
        <v>87</v>
      </c>
      <c r="C39" s="61"/>
      <c r="D39" s="61"/>
      <c r="E39" s="61"/>
      <c r="F39" s="68"/>
      <c r="G39" s="33"/>
      <c r="H39" s="63"/>
      <c r="I39" s="63"/>
      <c r="J39" s="63"/>
    </row>
    <row r="40" spans="1:10" hidden="1">
      <c r="A40" s="69"/>
      <c r="B40" s="70" t="s">
        <v>102</v>
      </c>
      <c r="C40" s="71"/>
      <c r="D40" s="71"/>
      <c r="E40" s="71"/>
      <c r="F40" s="32"/>
      <c r="G40" s="34"/>
      <c r="H40" s="63"/>
      <c r="I40" s="63"/>
      <c r="J40" s="63"/>
    </row>
    <row r="41" spans="1:10" ht="109.2" hidden="1">
      <c r="A41" s="69">
        <v>3</v>
      </c>
      <c r="B41" s="72" t="s">
        <v>93</v>
      </c>
      <c r="C41" s="73"/>
      <c r="D41" s="73"/>
      <c r="E41" s="73"/>
      <c r="F41" s="76"/>
      <c r="G41" s="34"/>
      <c r="H41" s="63"/>
      <c r="I41" s="63"/>
      <c r="J41" s="63"/>
    </row>
    <row r="42" spans="1:10" ht="46.8" hidden="1">
      <c r="A42" s="69">
        <v>4</v>
      </c>
      <c r="B42" s="72" t="s">
        <v>103</v>
      </c>
      <c r="C42" s="73"/>
      <c r="D42" s="73"/>
      <c r="E42" s="73"/>
      <c r="F42" s="47"/>
      <c r="G42" s="34"/>
      <c r="H42" s="63"/>
      <c r="I42" s="63"/>
      <c r="J42" s="63"/>
    </row>
    <row r="43" spans="1:10" hidden="1">
      <c r="A43" s="74"/>
      <c r="B43" s="75" t="s">
        <v>87</v>
      </c>
      <c r="C43" s="61"/>
      <c r="D43" s="61"/>
      <c r="E43" s="61"/>
      <c r="F43" s="68"/>
      <c r="G43" s="33"/>
      <c r="H43" s="63"/>
      <c r="I43" s="63"/>
      <c r="J43" s="63"/>
    </row>
    <row r="44" spans="1:10" hidden="1">
      <c r="A44" s="69"/>
      <c r="B44" s="70" t="s">
        <v>94</v>
      </c>
      <c r="C44" s="71"/>
      <c r="D44" s="71"/>
      <c r="E44" s="71"/>
      <c r="F44" s="68"/>
      <c r="G44" s="34"/>
      <c r="H44" s="63"/>
      <c r="I44" s="63"/>
      <c r="J44" s="63"/>
    </row>
    <row r="45" spans="1:10" ht="46.8" hidden="1">
      <c r="A45" s="69">
        <v>5</v>
      </c>
      <c r="B45" s="72" t="s">
        <v>104</v>
      </c>
      <c r="C45" s="73"/>
      <c r="D45" s="73"/>
      <c r="E45" s="73"/>
      <c r="F45" s="47"/>
      <c r="G45" s="34"/>
      <c r="H45" s="63"/>
      <c r="I45" s="63"/>
      <c r="J45" s="63"/>
    </row>
    <row r="46" spans="1:10" ht="31.2" hidden="1">
      <c r="A46" s="69">
        <v>6</v>
      </c>
      <c r="B46" s="72" t="s">
        <v>105</v>
      </c>
      <c r="C46" s="73"/>
      <c r="D46" s="73"/>
      <c r="E46" s="73"/>
      <c r="F46" s="47"/>
      <c r="G46" s="34"/>
      <c r="H46" s="63"/>
      <c r="I46" s="63"/>
      <c r="J46" s="63"/>
    </row>
    <row r="47" spans="1:10" ht="31.2" hidden="1">
      <c r="A47" s="69">
        <v>7</v>
      </c>
      <c r="B47" s="72" t="s">
        <v>106</v>
      </c>
      <c r="C47" s="73"/>
      <c r="D47" s="73"/>
      <c r="E47" s="73"/>
      <c r="F47" s="47"/>
      <c r="G47" s="34"/>
      <c r="H47" s="63"/>
      <c r="I47" s="63"/>
      <c r="J47" s="63"/>
    </row>
    <row r="48" spans="1:10" ht="62.4" hidden="1">
      <c r="A48" s="69">
        <v>8</v>
      </c>
      <c r="B48" s="72" t="s">
        <v>107</v>
      </c>
      <c r="C48" s="73"/>
      <c r="D48" s="73"/>
      <c r="E48" s="73"/>
      <c r="F48" s="47"/>
      <c r="G48" s="34"/>
      <c r="H48" s="63"/>
      <c r="I48" s="63"/>
      <c r="J48" s="63"/>
    </row>
    <row r="49" spans="1:10" hidden="1">
      <c r="A49" s="74"/>
      <c r="B49" s="75" t="s">
        <v>87</v>
      </c>
      <c r="C49" s="61"/>
      <c r="D49" s="61"/>
      <c r="E49" s="61"/>
      <c r="F49" s="68"/>
      <c r="G49" s="33"/>
      <c r="H49" s="63"/>
      <c r="I49" s="63"/>
      <c r="J49" s="63"/>
    </row>
    <row r="50" spans="1:10" ht="93.6" hidden="1">
      <c r="A50" s="69">
        <v>9</v>
      </c>
      <c r="B50" s="75" t="s">
        <v>108</v>
      </c>
      <c r="C50" s="61"/>
      <c r="D50" s="61"/>
      <c r="E50" s="61"/>
      <c r="F50" s="32"/>
      <c r="G50" s="34"/>
      <c r="H50" s="63"/>
      <c r="I50" s="63"/>
      <c r="J50" s="63"/>
    </row>
    <row r="51" spans="1:10" ht="46.8" hidden="1">
      <c r="A51" s="69">
        <v>10</v>
      </c>
      <c r="B51" s="72" t="s">
        <v>109</v>
      </c>
      <c r="C51" s="73"/>
      <c r="D51" s="73"/>
      <c r="E51" s="73"/>
      <c r="F51" s="47"/>
      <c r="G51" s="34"/>
      <c r="H51" s="63"/>
      <c r="I51" s="63"/>
      <c r="J51" s="63"/>
    </row>
    <row r="52" spans="1:10" ht="62.4" hidden="1">
      <c r="A52" s="69">
        <v>11</v>
      </c>
      <c r="B52" s="72" t="s">
        <v>110</v>
      </c>
      <c r="C52" s="73"/>
      <c r="D52" s="73"/>
      <c r="E52" s="73"/>
      <c r="F52" s="47"/>
      <c r="G52" s="34"/>
      <c r="H52" s="63"/>
      <c r="I52" s="63"/>
      <c r="J52" s="63"/>
    </row>
    <row r="53" spans="1:10" ht="31.2" hidden="1">
      <c r="A53" s="69">
        <v>12</v>
      </c>
      <c r="B53" s="72" t="s">
        <v>111</v>
      </c>
      <c r="C53" s="73"/>
      <c r="D53" s="73"/>
      <c r="E53" s="73"/>
      <c r="F53" s="47"/>
      <c r="G53" s="34"/>
      <c r="H53" s="63"/>
      <c r="I53" s="63"/>
      <c r="J53" s="63"/>
    </row>
    <row r="54" spans="1:10" hidden="1">
      <c r="A54" s="74"/>
      <c r="B54" s="75" t="s">
        <v>87</v>
      </c>
      <c r="C54" s="61"/>
      <c r="D54" s="61"/>
      <c r="E54" s="61"/>
      <c r="F54" s="68"/>
      <c r="G54" s="33"/>
      <c r="H54" s="63"/>
      <c r="I54" s="63"/>
      <c r="J54" s="63"/>
    </row>
    <row r="55" spans="1:10" hidden="1">
      <c r="A55" s="69"/>
      <c r="B55" s="70" t="s">
        <v>97</v>
      </c>
      <c r="C55" s="71"/>
      <c r="D55" s="71"/>
      <c r="E55" s="71"/>
      <c r="F55" s="32"/>
      <c r="G55" s="34"/>
      <c r="H55" s="63"/>
      <c r="I55" s="63"/>
      <c r="J55" s="63"/>
    </row>
    <row r="56" spans="1:10" ht="31.2" hidden="1">
      <c r="A56" s="69">
        <v>13</v>
      </c>
      <c r="B56" s="72" t="s">
        <v>112</v>
      </c>
      <c r="C56" s="73"/>
      <c r="D56" s="73"/>
      <c r="E56" s="73"/>
      <c r="F56" s="47"/>
      <c r="G56" s="34"/>
      <c r="H56" s="63"/>
      <c r="I56" s="63"/>
      <c r="J56" s="63"/>
    </row>
    <row r="57" spans="1:10" ht="31.2" hidden="1">
      <c r="A57" s="69">
        <v>14</v>
      </c>
      <c r="B57" s="72" t="s">
        <v>113</v>
      </c>
      <c r="C57" s="73"/>
      <c r="D57" s="73"/>
      <c r="E57" s="73"/>
      <c r="F57" s="47"/>
      <c r="G57" s="34"/>
      <c r="H57" s="63"/>
      <c r="I57" s="63"/>
      <c r="J57" s="63"/>
    </row>
    <row r="58" spans="1:10" ht="31.2" hidden="1">
      <c r="A58" s="69">
        <v>15</v>
      </c>
      <c r="B58" s="72" t="s">
        <v>114</v>
      </c>
      <c r="C58" s="73"/>
      <c r="D58" s="73"/>
      <c r="E58" s="73"/>
      <c r="F58" s="47"/>
      <c r="G58" s="34"/>
      <c r="H58" s="63"/>
      <c r="I58" s="63"/>
      <c r="J58" s="63"/>
    </row>
    <row r="59" spans="1:10" ht="46.8" hidden="1">
      <c r="A59" s="69">
        <v>16</v>
      </c>
      <c r="B59" s="72" t="s">
        <v>115</v>
      </c>
      <c r="C59" s="73"/>
      <c r="D59" s="73"/>
      <c r="E59" s="73"/>
      <c r="F59" s="47"/>
      <c r="G59" s="34"/>
      <c r="H59" s="63"/>
      <c r="I59" s="63"/>
      <c r="J59" s="63"/>
    </row>
    <row r="60" spans="1:10" ht="62.4" hidden="1">
      <c r="A60" s="69">
        <v>17</v>
      </c>
      <c r="B60" s="72" t="s">
        <v>116</v>
      </c>
      <c r="C60" s="73"/>
      <c r="D60" s="73"/>
      <c r="E60" s="73"/>
      <c r="F60" s="47"/>
      <c r="G60" s="34"/>
      <c r="H60" s="63"/>
      <c r="I60" s="63"/>
      <c r="J60" s="63"/>
    </row>
    <row r="61" spans="1:10" hidden="1">
      <c r="A61" s="74"/>
      <c r="B61" s="75" t="s">
        <v>87</v>
      </c>
      <c r="C61" s="61"/>
      <c r="D61" s="61"/>
      <c r="E61" s="61"/>
      <c r="F61" s="68"/>
      <c r="G61" s="33"/>
      <c r="H61" s="63"/>
      <c r="I61" s="63"/>
      <c r="J61" s="63"/>
    </row>
    <row r="62" spans="1:10" ht="12.75" hidden="1" customHeight="1">
      <c r="A62" s="100" t="s">
        <v>117</v>
      </c>
      <c r="B62" s="100"/>
      <c r="C62" s="100"/>
      <c r="D62" s="100"/>
      <c r="E62" s="100"/>
      <c r="F62" s="100"/>
      <c r="G62" s="100"/>
      <c r="H62" s="63"/>
      <c r="I62" s="63"/>
      <c r="J62" s="63"/>
    </row>
    <row r="63" spans="1:10" hidden="1">
      <c r="A63" s="28"/>
      <c r="B63" s="71" t="s">
        <v>56</v>
      </c>
      <c r="C63" s="71"/>
      <c r="D63" s="71"/>
      <c r="E63" s="71"/>
      <c r="F63" s="32"/>
      <c r="G63" s="34"/>
      <c r="H63" s="63"/>
      <c r="I63" s="63"/>
      <c r="J63" s="63"/>
    </row>
    <row r="64" spans="1:10" ht="78" hidden="1">
      <c r="A64" s="69">
        <v>1</v>
      </c>
      <c r="B64" s="77" t="s">
        <v>118</v>
      </c>
      <c r="C64" s="78"/>
      <c r="D64" s="78"/>
      <c r="E64" s="78"/>
      <c r="F64" s="47"/>
      <c r="G64" s="34"/>
      <c r="H64" s="63"/>
      <c r="I64" s="63"/>
      <c r="J64" s="63"/>
    </row>
    <row r="65" spans="1:10" hidden="1">
      <c r="A65" s="69">
        <v>2</v>
      </c>
      <c r="B65" s="77" t="s">
        <v>119</v>
      </c>
      <c r="C65" s="78"/>
      <c r="D65" s="78"/>
      <c r="E65" s="78"/>
      <c r="F65" s="47"/>
      <c r="G65" s="34"/>
      <c r="H65" s="63"/>
      <c r="I65" s="63"/>
      <c r="J65" s="63"/>
    </row>
    <row r="66" spans="1:10" ht="31.2" hidden="1">
      <c r="A66" s="69">
        <v>3</v>
      </c>
      <c r="B66" s="77" t="s">
        <v>120</v>
      </c>
      <c r="C66" s="78"/>
      <c r="D66" s="78"/>
      <c r="E66" s="78"/>
      <c r="F66" s="47"/>
      <c r="G66" s="34"/>
      <c r="H66" s="63"/>
      <c r="I66" s="63"/>
      <c r="J66" s="63"/>
    </row>
    <row r="67" spans="1:10" ht="31.2" hidden="1">
      <c r="A67" s="69">
        <v>4</v>
      </c>
      <c r="B67" s="77" t="s">
        <v>121</v>
      </c>
      <c r="C67" s="78"/>
      <c r="D67" s="78"/>
      <c r="E67" s="78"/>
      <c r="F67" s="47"/>
      <c r="G67" s="34"/>
      <c r="H67" s="63"/>
      <c r="I67" s="63"/>
      <c r="J67" s="63"/>
    </row>
    <row r="68" spans="1:10" ht="31.2" hidden="1">
      <c r="A68" s="69">
        <v>5</v>
      </c>
      <c r="B68" s="77" t="s">
        <v>122</v>
      </c>
      <c r="C68" s="78"/>
      <c r="D68" s="78"/>
      <c r="E68" s="78"/>
      <c r="F68" s="47"/>
      <c r="G68" s="34"/>
      <c r="H68" s="63"/>
      <c r="I68" s="63"/>
      <c r="J68" s="63"/>
    </row>
    <row r="69" spans="1:10" hidden="1">
      <c r="A69" s="74"/>
      <c r="B69" s="79" t="s">
        <v>87</v>
      </c>
      <c r="C69" s="80"/>
      <c r="D69" s="80"/>
      <c r="E69" s="80"/>
      <c r="F69" s="68"/>
      <c r="G69" s="33"/>
      <c r="H69" s="63"/>
      <c r="I69" s="63"/>
      <c r="J69" s="63"/>
    </row>
    <row r="70" spans="1:10" hidden="1">
      <c r="A70" s="69"/>
      <c r="B70" s="71" t="s">
        <v>123</v>
      </c>
      <c r="C70" s="71"/>
      <c r="D70" s="71"/>
      <c r="E70" s="71"/>
      <c r="F70" s="32"/>
      <c r="G70" s="34"/>
      <c r="H70" s="63"/>
      <c r="I70" s="63"/>
      <c r="J70" s="63"/>
    </row>
    <row r="71" spans="1:10" ht="93.6" hidden="1">
      <c r="A71" s="69">
        <v>6</v>
      </c>
      <c r="B71" s="77" t="s">
        <v>124</v>
      </c>
      <c r="C71" s="78"/>
      <c r="D71" s="78"/>
      <c r="E71" s="78"/>
      <c r="F71" s="47"/>
      <c r="G71" s="34"/>
      <c r="H71" s="63"/>
      <c r="I71" s="63"/>
      <c r="J71" s="63"/>
    </row>
    <row r="72" spans="1:10" ht="31.2" hidden="1">
      <c r="A72" s="69">
        <v>7</v>
      </c>
      <c r="B72" s="77" t="s">
        <v>125</v>
      </c>
      <c r="C72" s="78"/>
      <c r="D72" s="78"/>
      <c r="E72" s="78"/>
      <c r="F72" s="47"/>
      <c r="G72" s="34"/>
      <c r="H72" s="63"/>
      <c r="I72" s="63"/>
      <c r="J72" s="63"/>
    </row>
    <row r="73" spans="1:10" ht="62.4" hidden="1">
      <c r="A73" s="69">
        <v>8</v>
      </c>
      <c r="B73" s="77" t="s">
        <v>126</v>
      </c>
      <c r="C73" s="78"/>
      <c r="D73" s="78"/>
      <c r="E73" s="78"/>
      <c r="F73" s="47"/>
      <c r="G73" s="34"/>
      <c r="H73" s="63"/>
      <c r="I73" s="63"/>
      <c r="J73" s="63"/>
    </row>
    <row r="74" spans="1:10" hidden="1">
      <c r="A74" s="74"/>
      <c r="B74" s="79" t="s">
        <v>87</v>
      </c>
      <c r="C74" s="80"/>
      <c r="D74" s="80"/>
      <c r="E74" s="80"/>
      <c r="F74" s="68"/>
      <c r="G74" s="33"/>
      <c r="H74" s="63"/>
      <c r="I74" s="63"/>
      <c r="J74" s="63"/>
    </row>
    <row r="75" spans="1:10" hidden="1">
      <c r="A75" s="34"/>
      <c r="B75" s="71" t="s">
        <v>91</v>
      </c>
      <c r="C75" s="71"/>
      <c r="D75" s="71"/>
      <c r="E75" s="71"/>
      <c r="F75" s="32"/>
      <c r="G75" s="34"/>
      <c r="H75" s="63"/>
      <c r="I75" s="63"/>
      <c r="J75" s="63"/>
    </row>
    <row r="76" spans="1:10" ht="46.8" hidden="1">
      <c r="A76" s="69">
        <v>9</v>
      </c>
      <c r="B76" s="77" t="s">
        <v>103</v>
      </c>
      <c r="C76" s="78"/>
      <c r="D76" s="78"/>
      <c r="E76" s="78"/>
      <c r="F76" s="47"/>
      <c r="G76" s="34"/>
      <c r="H76" s="63"/>
      <c r="I76" s="63"/>
      <c r="J76" s="63"/>
    </row>
    <row r="77" spans="1:10" hidden="1">
      <c r="A77" s="74"/>
      <c r="B77" s="79" t="s">
        <v>87</v>
      </c>
      <c r="C77" s="80"/>
      <c r="D77" s="80"/>
      <c r="E77" s="80"/>
      <c r="F77" s="68"/>
      <c r="G77" s="33"/>
      <c r="H77" s="63"/>
      <c r="I77" s="63"/>
      <c r="J77" s="63"/>
    </row>
    <row r="78" spans="1:10" s="36" customFormat="1" ht="29.25" customHeight="1">
      <c r="A78" s="69"/>
      <c r="B78" s="81" t="s">
        <v>127</v>
      </c>
      <c r="C78" s="82">
        <f>C22+C28+C31+C25</f>
        <v>3309</v>
      </c>
      <c r="D78" s="83">
        <f>D31+D28+D22</f>
        <v>34457.509999999995</v>
      </c>
      <c r="E78" s="33">
        <v>0</v>
      </c>
      <c r="F78" s="81">
        <f>F31+F28+F22+F25</f>
        <v>2709</v>
      </c>
      <c r="G78" s="81">
        <f>G31+G28+G22+G25</f>
        <v>34122</v>
      </c>
      <c r="H78" s="84">
        <f>SUM(H7:H77)</f>
        <v>48</v>
      </c>
      <c r="I78" s="84">
        <f>SUM(I7:I77)</f>
        <v>335.51</v>
      </c>
      <c r="J78" s="84">
        <f>SUM(J7:J77)</f>
        <v>552</v>
      </c>
    </row>
    <row r="79" spans="1:10" s="25" customFormat="1">
      <c r="A79" s="24"/>
      <c r="B79" s="85"/>
      <c r="C79" s="20"/>
      <c r="D79" s="20"/>
      <c r="E79" s="20"/>
      <c r="F79" s="24"/>
      <c r="G79" s="21"/>
    </row>
    <row r="80" spans="1:10" s="25" customFormat="1">
      <c r="A80" s="24"/>
      <c r="B80" s="85"/>
      <c r="C80" s="20"/>
      <c r="D80" s="20"/>
      <c r="E80" s="20"/>
      <c r="F80" s="24"/>
      <c r="G80" s="21"/>
    </row>
    <row r="81" spans="1:7" s="25" customFormat="1">
      <c r="A81" s="24"/>
      <c r="B81" s="85"/>
      <c r="C81" s="20"/>
      <c r="D81" s="20"/>
      <c r="E81" s="20"/>
      <c r="F81" s="24"/>
      <c r="G81" s="21"/>
    </row>
    <row r="82" spans="1:7" s="25" customFormat="1">
      <c r="A82" s="24"/>
      <c r="B82" s="85"/>
      <c r="C82" s="20"/>
      <c r="D82" s="20"/>
      <c r="E82" s="20"/>
      <c r="F82" s="24"/>
      <c r="G82" s="21"/>
    </row>
    <row r="83" spans="1:7" s="25" customFormat="1">
      <c r="A83" s="24"/>
      <c r="B83" s="85"/>
      <c r="C83" s="20"/>
      <c r="D83" s="20"/>
      <c r="E83" s="20"/>
      <c r="F83" s="24"/>
      <c r="G83" s="21"/>
    </row>
    <row r="84" spans="1:7" s="25" customFormat="1">
      <c r="A84" s="24"/>
      <c r="B84" s="85"/>
      <c r="C84" s="20"/>
      <c r="D84" s="20"/>
      <c r="E84" s="20"/>
      <c r="F84" s="24"/>
      <c r="G84" s="21"/>
    </row>
    <row r="85" spans="1:7" s="25" customFormat="1">
      <c r="A85" s="24"/>
      <c r="B85" s="85"/>
      <c r="C85" s="20"/>
      <c r="D85" s="20"/>
      <c r="E85" s="20"/>
      <c r="F85" s="24"/>
      <c r="G85" s="21"/>
    </row>
    <row r="86" spans="1:7" s="25" customFormat="1">
      <c r="A86" s="24"/>
      <c r="B86" s="85"/>
      <c r="C86" s="20"/>
      <c r="D86" s="20"/>
      <c r="E86" s="20"/>
      <c r="F86" s="24"/>
      <c r="G86" s="21"/>
    </row>
    <row r="87" spans="1:7" s="25" customFormat="1">
      <c r="A87" s="24"/>
      <c r="B87" s="85"/>
      <c r="C87" s="20"/>
      <c r="D87" s="20"/>
      <c r="E87" s="20"/>
      <c r="F87" s="24"/>
      <c r="G87" s="21"/>
    </row>
    <row r="88" spans="1:7" s="25" customFormat="1">
      <c r="A88" s="24"/>
      <c r="B88" s="85"/>
      <c r="C88" s="20"/>
      <c r="D88" s="20"/>
      <c r="E88" s="20"/>
      <c r="F88" s="24"/>
      <c r="G88" s="21"/>
    </row>
    <row r="89" spans="1:7" s="25" customFormat="1">
      <c r="A89" s="24"/>
      <c r="B89" s="85"/>
      <c r="C89" s="20"/>
      <c r="D89" s="20"/>
      <c r="E89" s="20"/>
      <c r="F89" s="24"/>
      <c r="G89" s="21"/>
    </row>
    <row r="90" spans="1:7" s="25" customFormat="1">
      <c r="A90" s="24"/>
      <c r="B90" s="85"/>
      <c r="C90" s="20"/>
      <c r="D90" s="20"/>
      <c r="E90" s="20"/>
      <c r="F90" s="24"/>
      <c r="G90" s="21"/>
    </row>
    <row r="91" spans="1:7" s="25" customFormat="1">
      <c r="A91" s="24"/>
      <c r="B91" s="85"/>
      <c r="C91" s="20"/>
      <c r="D91" s="20"/>
      <c r="E91" s="20"/>
      <c r="F91" s="24"/>
      <c r="G91" s="21"/>
    </row>
    <row r="92" spans="1:7" s="25" customFormat="1">
      <c r="A92" s="24"/>
      <c r="B92" s="85"/>
      <c r="C92" s="20"/>
      <c r="D92" s="20"/>
      <c r="E92" s="20"/>
      <c r="F92" s="24"/>
      <c r="G92" s="21"/>
    </row>
    <row r="93" spans="1:7" s="25" customFormat="1">
      <c r="A93" s="24"/>
      <c r="B93" s="85"/>
      <c r="C93" s="20"/>
      <c r="D93" s="20"/>
      <c r="E93" s="20"/>
      <c r="F93" s="24"/>
      <c r="G93" s="21"/>
    </row>
    <row r="94" spans="1:7" s="25" customFormat="1">
      <c r="A94" s="24"/>
      <c r="B94" s="85"/>
      <c r="C94" s="20"/>
      <c r="D94" s="20"/>
      <c r="E94" s="20"/>
      <c r="F94" s="24"/>
      <c r="G94" s="21"/>
    </row>
    <row r="95" spans="1:7" s="25" customFormat="1">
      <c r="A95" s="24"/>
      <c r="B95" s="85"/>
      <c r="C95" s="20"/>
      <c r="D95" s="20"/>
      <c r="E95" s="20"/>
      <c r="F95" s="24"/>
      <c r="G95" s="21"/>
    </row>
    <row r="96" spans="1:7" s="25" customFormat="1">
      <c r="A96" s="24"/>
      <c r="B96" s="85"/>
      <c r="C96" s="20"/>
      <c r="D96" s="20"/>
      <c r="E96" s="20"/>
      <c r="F96" s="24"/>
      <c r="G96" s="21"/>
    </row>
    <row r="97" spans="1:7" s="25" customFormat="1">
      <c r="A97" s="24"/>
      <c r="B97" s="85"/>
      <c r="C97" s="20"/>
      <c r="D97" s="20"/>
      <c r="E97" s="20"/>
      <c r="F97" s="24"/>
      <c r="G97" s="21"/>
    </row>
    <row r="98" spans="1:7" s="25" customFormat="1">
      <c r="A98" s="24"/>
      <c r="B98" s="85"/>
      <c r="C98" s="20"/>
      <c r="D98" s="20"/>
      <c r="E98" s="20"/>
      <c r="F98" s="24"/>
      <c r="G98" s="21"/>
    </row>
    <row r="99" spans="1:7" s="25" customFormat="1">
      <c r="A99" s="24"/>
      <c r="B99" s="85"/>
      <c r="C99" s="20"/>
      <c r="D99" s="20"/>
      <c r="E99" s="20"/>
      <c r="F99" s="24"/>
      <c r="G99" s="21"/>
    </row>
    <row r="100" spans="1:7" s="25" customFormat="1">
      <c r="A100" s="24"/>
      <c r="B100" s="85"/>
      <c r="C100" s="20"/>
      <c r="D100" s="20"/>
      <c r="E100" s="20"/>
      <c r="F100" s="24"/>
      <c r="G100" s="21"/>
    </row>
    <row r="101" spans="1:7" s="25" customFormat="1">
      <c r="A101" s="24"/>
      <c r="B101" s="85"/>
      <c r="C101" s="20"/>
      <c r="D101" s="20"/>
      <c r="E101" s="20"/>
      <c r="F101" s="24"/>
      <c r="G101" s="21"/>
    </row>
    <row r="102" spans="1:7" s="25" customFormat="1">
      <c r="A102" s="24"/>
      <c r="B102" s="85"/>
      <c r="C102" s="20"/>
      <c r="D102" s="20"/>
      <c r="E102" s="20"/>
      <c r="F102" s="24"/>
      <c r="G102" s="21"/>
    </row>
    <row r="103" spans="1:7" s="25" customFormat="1">
      <c r="A103" s="24"/>
      <c r="B103" s="85"/>
      <c r="C103" s="20"/>
      <c r="D103" s="20"/>
      <c r="E103" s="20"/>
      <c r="F103" s="24"/>
      <c r="G103" s="21"/>
    </row>
    <row r="104" spans="1:7" s="25" customFormat="1">
      <c r="A104" s="24"/>
      <c r="B104" s="85"/>
      <c r="C104" s="20"/>
      <c r="D104" s="20"/>
      <c r="E104" s="20"/>
      <c r="F104" s="24"/>
      <c r="G104" s="21"/>
    </row>
    <row r="105" spans="1:7" s="25" customFormat="1">
      <c r="A105" s="24"/>
      <c r="B105" s="85"/>
      <c r="C105" s="20"/>
      <c r="D105" s="20"/>
      <c r="E105" s="20"/>
      <c r="F105" s="24"/>
      <c r="G105" s="21"/>
    </row>
    <row r="106" spans="1:7" s="25" customFormat="1">
      <c r="A106" s="24"/>
      <c r="B106" s="85"/>
      <c r="C106" s="20"/>
      <c r="D106" s="20"/>
      <c r="E106" s="20"/>
      <c r="F106" s="24"/>
      <c r="G106" s="21"/>
    </row>
    <row r="107" spans="1:7" s="25" customFormat="1">
      <c r="A107" s="24"/>
      <c r="B107" s="85"/>
      <c r="C107" s="20"/>
      <c r="D107" s="20"/>
      <c r="E107" s="20"/>
      <c r="F107" s="24"/>
      <c r="G107" s="21"/>
    </row>
    <row r="108" spans="1:7" s="25" customFormat="1">
      <c r="A108" s="24"/>
      <c r="B108" s="85"/>
      <c r="C108" s="20"/>
      <c r="D108" s="20"/>
      <c r="E108" s="20"/>
      <c r="F108" s="24"/>
      <c r="G108" s="21"/>
    </row>
    <row r="109" spans="1:7" s="25" customFormat="1">
      <c r="A109" s="24"/>
      <c r="B109" s="85"/>
      <c r="C109" s="20"/>
      <c r="D109" s="20"/>
      <c r="E109" s="20"/>
      <c r="F109" s="24"/>
      <c r="G109" s="21"/>
    </row>
    <row r="110" spans="1:7" s="25" customFormat="1">
      <c r="A110" s="24"/>
      <c r="B110" s="85"/>
      <c r="C110" s="20"/>
      <c r="D110" s="20"/>
      <c r="E110" s="20"/>
      <c r="F110" s="24"/>
      <c r="G110" s="21"/>
    </row>
    <row r="111" spans="1:7" s="25" customFormat="1">
      <c r="A111" s="24"/>
      <c r="B111" s="85"/>
      <c r="C111" s="20"/>
      <c r="D111" s="20"/>
      <c r="E111" s="20"/>
      <c r="F111" s="24"/>
      <c r="G111" s="21"/>
    </row>
    <row r="112" spans="1:7" s="25" customFormat="1">
      <c r="A112" s="24"/>
      <c r="B112" s="85"/>
      <c r="C112" s="20"/>
      <c r="D112" s="20"/>
      <c r="E112" s="20"/>
      <c r="F112" s="24"/>
      <c r="G112" s="21"/>
    </row>
    <row r="113" spans="1:7" s="25" customFormat="1">
      <c r="A113" s="24"/>
      <c r="B113" s="85"/>
      <c r="C113" s="20"/>
      <c r="D113" s="20"/>
      <c r="E113" s="20"/>
      <c r="F113" s="24"/>
      <c r="G113" s="21"/>
    </row>
    <row r="114" spans="1:7" s="25" customFormat="1">
      <c r="A114" s="24"/>
      <c r="B114" s="85"/>
      <c r="C114" s="20"/>
      <c r="D114" s="20"/>
      <c r="E114" s="20"/>
      <c r="F114" s="24"/>
      <c r="G114" s="21"/>
    </row>
    <row r="115" spans="1:7" s="25" customFormat="1">
      <c r="A115" s="24"/>
      <c r="B115" s="85"/>
      <c r="C115" s="20"/>
      <c r="D115" s="20"/>
      <c r="E115" s="20"/>
      <c r="F115" s="24"/>
      <c r="G115" s="21"/>
    </row>
    <row r="116" spans="1:7" s="25" customFormat="1">
      <c r="A116" s="24"/>
      <c r="B116" s="85"/>
      <c r="C116" s="20"/>
      <c r="D116" s="20"/>
      <c r="E116" s="20"/>
      <c r="F116" s="24"/>
      <c r="G116" s="21"/>
    </row>
    <row r="117" spans="1:7" s="25" customFormat="1">
      <c r="A117" s="24"/>
      <c r="B117" s="85"/>
      <c r="C117" s="20"/>
      <c r="D117" s="20"/>
      <c r="E117" s="20"/>
      <c r="F117" s="24"/>
      <c r="G117" s="21"/>
    </row>
    <row r="118" spans="1:7" s="25" customFormat="1">
      <c r="A118" s="24"/>
      <c r="B118" s="85"/>
      <c r="C118" s="20"/>
      <c r="D118" s="20"/>
      <c r="E118" s="20"/>
      <c r="F118" s="24"/>
      <c r="G118" s="21"/>
    </row>
    <row r="119" spans="1:7" s="25" customFormat="1">
      <c r="A119" s="24"/>
      <c r="B119" s="85"/>
      <c r="C119" s="20"/>
      <c r="D119" s="20"/>
      <c r="E119" s="20"/>
      <c r="F119" s="24"/>
      <c r="G119" s="21"/>
    </row>
    <row r="120" spans="1:7" s="25" customFormat="1">
      <c r="A120" s="24"/>
      <c r="B120" s="85"/>
      <c r="C120" s="20"/>
      <c r="D120" s="20"/>
      <c r="E120" s="20"/>
      <c r="F120" s="24"/>
      <c r="G120" s="21"/>
    </row>
    <row r="121" spans="1:7" s="25" customFormat="1">
      <c r="A121" s="24"/>
      <c r="B121" s="85"/>
      <c r="C121" s="20"/>
      <c r="D121" s="20"/>
      <c r="E121" s="20"/>
      <c r="F121" s="24"/>
      <c r="G121" s="21"/>
    </row>
    <row r="122" spans="1:7" s="25" customFormat="1">
      <c r="A122" s="24"/>
      <c r="B122" s="85"/>
      <c r="C122" s="20"/>
      <c r="D122" s="20"/>
      <c r="E122" s="20"/>
      <c r="F122" s="24"/>
      <c r="G122" s="21"/>
    </row>
    <row r="123" spans="1:7" s="25" customFormat="1">
      <c r="A123" s="24"/>
      <c r="B123" s="85"/>
      <c r="C123" s="20"/>
      <c r="D123" s="20"/>
      <c r="E123" s="20"/>
      <c r="F123" s="24"/>
      <c r="G123" s="21"/>
    </row>
    <row r="124" spans="1:7" s="25" customFormat="1">
      <c r="A124" s="24"/>
      <c r="B124" s="85"/>
      <c r="C124" s="20"/>
      <c r="D124" s="20"/>
      <c r="E124" s="20"/>
      <c r="F124" s="24"/>
      <c r="G124" s="21"/>
    </row>
    <row r="125" spans="1:7" s="25" customFormat="1">
      <c r="A125" s="24"/>
      <c r="B125" s="85"/>
      <c r="C125" s="20"/>
      <c r="D125" s="20"/>
      <c r="E125" s="20"/>
      <c r="F125" s="24"/>
      <c r="G125" s="21"/>
    </row>
    <row r="126" spans="1:7" s="25" customFormat="1">
      <c r="A126" s="24"/>
      <c r="B126" s="85"/>
      <c r="C126" s="20"/>
      <c r="D126" s="20"/>
      <c r="E126" s="20"/>
      <c r="F126" s="24"/>
      <c r="G126" s="21"/>
    </row>
    <row r="127" spans="1:7" s="25" customFormat="1">
      <c r="A127" s="24"/>
      <c r="B127" s="85"/>
      <c r="C127" s="20"/>
      <c r="D127" s="20"/>
      <c r="E127" s="20"/>
      <c r="F127" s="24"/>
      <c r="G127" s="21"/>
    </row>
    <row r="128" spans="1:7" s="25" customFormat="1">
      <c r="A128" s="24"/>
      <c r="B128" s="85"/>
      <c r="C128" s="20"/>
      <c r="D128" s="20"/>
      <c r="E128" s="20"/>
      <c r="F128" s="24"/>
      <c r="G128" s="21"/>
    </row>
    <row r="129" spans="1:7" s="25" customFormat="1">
      <c r="A129" s="24"/>
      <c r="B129" s="85"/>
      <c r="C129" s="20"/>
      <c r="D129" s="20"/>
      <c r="E129" s="20"/>
      <c r="F129" s="24"/>
      <c r="G129" s="21"/>
    </row>
    <row r="130" spans="1:7" s="25" customFormat="1">
      <c r="A130" s="24"/>
      <c r="B130" s="85"/>
      <c r="C130" s="20"/>
      <c r="D130" s="20"/>
      <c r="E130" s="20"/>
      <c r="F130" s="24"/>
      <c r="G130" s="21"/>
    </row>
    <row r="131" spans="1:7" s="25" customFormat="1">
      <c r="A131" s="24"/>
      <c r="B131" s="85"/>
      <c r="C131" s="20"/>
      <c r="D131" s="20"/>
      <c r="E131" s="20"/>
      <c r="F131" s="24"/>
      <c r="G131" s="21"/>
    </row>
    <row r="132" spans="1:7" s="25" customFormat="1">
      <c r="A132" s="24"/>
      <c r="B132" s="85"/>
      <c r="C132" s="20"/>
      <c r="D132" s="20"/>
      <c r="E132" s="20"/>
      <c r="F132" s="24"/>
      <c r="G132" s="21"/>
    </row>
    <row r="133" spans="1:7" s="25" customFormat="1">
      <c r="A133" s="24"/>
      <c r="B133" s="85"/>
      <c r="C133" s="20"/>
      <c r="D133" s="20"/>
      <c r="E133" s="20"/>
      <c r="F133" s="24"/>
      <c r="G133" s="21"/>
    </row>
    <row r="134" spans="1:7" s="25" customFormat="1">
      <c r="A134" s="24"/>
      <c r="B134" s="85"/>
      <c r="C134" s="20"/>
      <c r="D134" s="20"/>
      <c r="E134" s="20"/>
      <c r="F134" s="24"/>
      <c r="G134" s="21"/>
    </row>
    <row r="135" spans="1:7" s="25" customFormat="1">
      <c r="A135" s="24"/>
      <c r="B135" s="85"/>
      <c r="C135" s="20"/>
      <c r="D135" s="20"/>
      <c r="E135" s="20"/>
      <c r="F135" s="24"/>
      <c r="G135" s="21"/>
    </row>
    <row r="136" spans="1:7" s="25" customFormat="1">
      <c r="A136" s="24"/>
      <c r="B136" s="85"/>
      <c r="C136" s="20"/>
      <c r="D136" s="20"/>
      <c r="E136" s="20"/>
      <c r="F136" s="24"/>
      <c r="G136" s="21"/>
    </row>
    <row r="137" spans="1:7" s="25" customFormat="1">
      <c r="A137" s="24"/>
      <c r="B137" s="85"/>
      <c r="C137" s="20"/>
      <c r="D137" s="20"/>
      <c r="E137" s="20"/>
      <c r="F137" s="24"/>
      <c r="G137" s="21"/>
    </row>
    <row r="138" spans="1:7" s="25" customFormat="1">
      <c r="A138" s="24"/>
      <c r="B138" s="85"/>
      <c r="C138" s="20"/>
      <c r="D138" s="20"/>
      <c r="E138" s="20"/>
      <c r="F138" s="24"/>
      <c r="G138" s="21"/>
    </row>
    <row r="139" spans="1:7" s="25" customFormat="1">
      <c r="A139" s="24"/>
      <c r="B139" s="85"/>
      <c r="C139" s="20"/>
      <c r="D139" s="20"/>
      <c r="E139" s="20"/>
      <c r="F139" s="24"/>
      <c r="G139" s="21"/>
    </row>
    <row r="140" spans="1:7" s="25" customFormat="1">
      <c r="A140" s="24"/>
      <c r="B140" s="85"/>
      <c r="C140" s="20"/>
      <c r="D140" s="20"/>
      <c r="E140" s="20"/>
      <c r="F140" s="24"/>
      <c r="G140" s="21"/>
    </row>
    <row r="141" spans="1:7" s="25" customFormat="1">
      <c r="A141" s="24"/>
      <c r="B141" s="85"/>
      <c r="C141" s="20"/>
      <c r="D141" s="20"/>
      <c r="E141" s="20"/>
      <c r="F141" s="24"/>
      <c r="G141" s="21"/>
    </row>
    <row r="142" spans="1:7" s="25" customFormat="1">
      <c r="A142" s="24"/>
      <c r="B142" s="85"/>
      <c r="C142" s="20"/>
      <c r="D142" s="20"/>
      <c r="E142" s="20"/>
      <c r="F142" s="24"/>
      <c r="G142" s="21"/>
    </row>
    <row r="143" spans="1:7" s="25" customFormat="1">
      <c r="A143" s="24"/>
      <c r="B143" s="85"/>
      <c r="C143" s="20"/>
      <c r="D143" s="20"/>
      <c r="E143" s="20"/>
      <c r="F143" s="24"/>
      <c r="G143" s="21"/>
    </row>
    <row r="144" spans="1:7" s="25" customFormat="1">
      <c r="A144" s="24"/>
      <c r="B144" s="85"/>
      <c r="C144" s="20"/>
      <c r="D144" s="20"/>
      <c r="E144" s="20"/>
      <c r="F144" s="24"/>
      <c r="G144" s="21"/>
    </row>
    <row r="145" spans="1:7" s="25" customFormat="1">
      <c r="A145" s="24"/>
      <c r="B145" s="85"/>
      <c r="C145" s="20"/>
      <c r="D145" s="20"/>
      <c r="E145" s="20"/>
      <c r="F145" s="24"/>
      <c r="G145" s="21"/>
    </row>
    <row r="146" spans="1:7" s="25" customFormat="1">
      <c r="A146" s="24"/>
      <c r="B146" s="85"/>
      <c r="C146" s="20"/>
      <c r="D146" s="20"/>
      <c r="E146" s="20"/>
      <c r="F146" s="24"/>
      <c r="G146" s="21"/>
    </row>
    <row r="147" spans="1:7" s="25" customFormat="1">
      <c r="A147" s="24"/>
      <c r="B147" s="85"/>
      <c r="C147" s="20"/>
      <c r="D147" s="20"/>
      <c r="E147" s="20"/>
      <c r="F147" s="24"/>
      <c r="G147" s="21"/>
    </row>
    <row r="148" spans="1:7" s="25" customFormat="1">
      <c r="A148" s="24"/>
      <c r="B148" s="85"/>
      <c r="C148" s="20"/>
      <c r="D148" s="20"/>
      <c r="E148" s="20"/>
      <c r="F148" s="24"/>
      <c r="G148" s="21"/>
    </row>
    <row r="149" spans="1:7" s="25" customFormat="1">
      <c r="A149" s="24"/>
      <c r="B149" s="85"/>
      <c r="C149" s="20"/>
      <c r="D149" s="20"/>
      <c r="E149" s="20"/>
      <c r="F149" s="24"/>
      <c r="G149" s="21"/>
    </row>
    <row r="150" spans="1:7" s="25" customFormat="1">
      <c r="A150" s="24"/>
      <c r="B150" s="85"/>
      <c r="C150" s="20"/>
      <c r="D150" s="20"/>
      <c r="E150" s="20"/>
      <c r="F150" s="24"/>
      <c r="G150" s="21"/>
    </row>
    <row r="151" spans="1:7" s="25" customFormat="1">
      <c r="A151" s="24"/>
      <c r="B151" s="85"/>
      <c r="C151" s="20"/>
      <c r="D151" s="20"/>
      <c r="E151" s="20"/>
      <c r="F151" s="24"/>
      <c r="G151" s="21"/>
    </row>
    <row r="152" spans="1:7" s="25" customFormat="1">
      <c r="A152" s="24"/>
      <c r="B152" s="85"/>
      <c r="C152" s="20"/>
      <c r="D152" s="20"/>
      <c r="E152" s="20"/>
      <c r="F152" s="24"/>
      <c r="G152" s="21"/>
    </row>
    <row r="153" spans="1:7" s="25" customFormat="1">
      <c r="A153" s="24"/>
      <c r="B153" s="85"/>
      <c r="C153" s="20"/>
      <c r="D153" s="20"/>
      <c r="E153" s="20"/>
      <c r="F153" s="24"/>
      <c r="G153" s="21"/>
    </row>
    <row r="154" spans="1:7" s="25" customFormat="1">
      <c r="A154" s="24"/>
      <c r="B154" s="85"/>
      <c r="C154" s="20"/>
      <c r="D154" s="20"/>
      <c r="E154" s="20"/>
      <c r="F154" s="24"/>
      <c r="G154" s="21"/>
    </row>
    <row r="155" spans="1:7" s="25" customFormat="1">
      <c r="A155" s="24"/>
      <c r="B155" s="85"/>
      <c r="C155" s="20"/>
      <c r="D155" s="20"/>
      <c r="E155" s="20"/>
      <c r="F155" s="24"/>
      <c r="G155" s="21"/>
    </row>
    <row r="156" spans="1:7" s="25" customFormat="1">
      <c r="A156" s="24"/>
      <c r="B156" s="85"/>
      <c r="C156" s="20"/>
      <c r="D156" s="20"/>
      <c r="E156" s="20"/>
      <c r="F156" s="24"/>
      <c r="G156" s="21"/>
    </row>
    <row r="157" spans="1:7" s="25" customFormat="1">
      <c r="A157" s="24"/>
      <c r="B157" s="85"/>
      <c r="C157" s="20"/>
      <c r="D157" s="20"/>
      <c r="E157" s="20"/>
      <c r="F157" s="24"/>
      <c r="G157" s="21"/>
    </row>
    <row r="158" spans="1:7" s="25" customFormat="1">
      <c r="A158" s="24"/>
      <c r="B158" s="85"/>
      <c r="C158" s="20"/>
      <c r="D158" s="20"/>
      <c r="E158" s="20"/>
      <c r="F158" s="24"/>
      <c r="G158" s="21"/>
    </row>
    <row r="159" spans="1:7" s="25" customFormat="1">
      <c r="A159" s="24"/>
      <c r="B159" s="85"/>
      <c r="C159" s="20"/>
      <c r="D159" s="20"/>
      <c r="E159" s="20"/>
      <c r="F159" s="24"/>
      <c r="G159" s="21"/>
    </row>
    <row r="160" spans="1:7" s="25" customFormat="1">
      <c r="A160" s="24"/>
      <c r="B160" s="85"/>
      <c r="C160" s="20"/>
      <c r="D160" s="20"/>
      <c r="E160" s="20"/>
      <c r="F160" s="24"/>
      <c r="G160" s="21"/>
    </row>
    <row r="161" spans="1:7" s="25" customFormat="1">
      <c r="A161" s="24"/>
      <c r="B161" s="85"/>
      <c r="C161" s="20"/>
      <c r="D161" s="20"/>
      <c r="E161" s="20"/>
      <c r="F161" s="24"/>
      <c r="G161" s="21"/>
    </row>
    <row r="162" spans="1:7" s="25" customFormat="1">
      <c r="A162" s="24"/>
      <c r="B162" s="85"/>
      <c r="C162" s="20"/>
      <c r="D162" s="20"/>
      <c r="E162" s="20"/>
      <c r="F162" s="24"/>
      <c r="G162" s="21"/>
    </row>
    <row r="163" spans="1:7" s="25" customFormat="1">
      <c r="A163" s="24"/>
      <c r="B163" s="85"/>
      <c r="C163" s="20"/>
      <c r="D163" s="20"/>
      <c r="E163" s="20"/>
      <c r="F163" s="24"/>
      <c r="G163" s="21"/>
    </row>
    <row r="164" spans="1:7" s="25" customFormat="1">
      <c r="A164" s="24"/>
      <c r="B164" s="85"/>
      <c r="C164" s="20"/>
      <c r="D164" s="20"/>
      <c r="E164" s="20"/>
      <c r="F164" s="24"/>
      <c r="G164" s="21"/>
    </row>
    <row r="165" spans="1:7" s="25" customFormat="1">
      <c r="A165" s="24"/>
      <c r="B165" s="85"/>
      <c r="C165" s="20"/>
      <c r="D165" s="20"/>
      <c r="E165" s="20"/>
      <c r="F165" s="24"/>
      <c r="G165" s="21"/>
    </row>
    <row r="166" spans="1:7" s="25" customFormat="1">
      <c r="A166" s="24"/>
      <c r="B166" s="85"/>
      <c r="C166" s="20"/>
      <c r="D166" s="20"/>
      <c r="E166" s="20"/>
      <c r="F166" s="24"/>
      <c r="G166" s="21"/>
    </row>
    <row r="167" spans="1:7" s="25" customFormat="1">
      <c r="A167" s="24"/>
      <c r="B167" s="85"/>
      <c r="C167" s="20"/>
      <c r="D167" s="20"/>
      <c r="E167" s="20"/>
      <c r="F167" s="24"/>
      <c r="G167" s="21"/>
    </row>
    <row r="168" spans="1:7" s="25" customFormat="1">
      <c r="A168" s="24"/>
      <c r="B168" s="85"/>
      <c r="C168" s="20"/>
      <c r="D168" s="20"/>
      <c r="E168" s="20"/>
      <c r="F168" s="24"/>
      <c r="G168" s="21"/>
    </row>
    <row r="169" spans="1:7" s="25" customFormat="1">
      <c r="A169" s="24"/>
      <c r="B169" s="85"/>
      <c r="C169" s="20"/>
      <c r="D169" s="20"/>
      <c r="E169" s="20"/>
      <c r="F169" s="24"/>
      <c r="G169" s="21"/>
    </row>
    <row r="170" spans="1:7" s="25" customFormat="1">
      <c r="A170" s="24"/>
      <c r="B170" s="85"/>
      <c r="C170" s="20"/>
      <c r="D170" s="20"/>
      <c r="E170" s="20"/>
      <c r="F170" s="24"/>
      <c r="G170" s="21"/>
    </row>
    <row r="171" spans="1:7" s="25" customFormat="1">
      <c r="A171" s="24"/>
      <c r="B171" s="85"/>
      <c r="C171" s="20"/>
      <c r="D171" s="20"/>
      <c r="E171" s="20"/>
      <c r="F171" s="24"/>
      <c r="G171" s="21"/>
    </row>
    <row r="172" spans="1:7" s="25" customFormat="1">
      <c r="A172" s="24"/>
      <c r="B172" s="85"/>
      <c r="C172" s="20"/>
      <c r="D172" s="20"/>
      <c r="E172" s="20"/>
      <c r="F172" s="24"/>
      <c r="G172" s="21"/>
    </row>
    <row r="173" spans="1:7" s="25" customFormat="1">
      <c r="A173" s="24"/>
      <c r="B173" s="85"/>
      <c r="C173" s="20"/>
      <c r="D173" s="20"/>
      <c r="E173" s="20"/>
      <c r="F173" s="24"/>
      <c r="G173" s="21"/>
    </row>
    <row r="174" spans="1:7" s="25" customFormat="1">
      <c r="A174" s="24"/>
      <c r="B174" s="85"/>
      <c r="C174" s="20"/>
      <c r="D174" s="20"/>
      <c r="E174" s="20"/>
      <c r="F174" s="24"/>
      <c r="G174" s="21"/>
    </row>
    <row r="175" spans="1:7" s="25" customFormat="1">
      <c r="A175" s="24"/>
      <c r="B175" s="85"/>
      <c r="C175" s="20"/>
      <c r="D175" s="20"/>
      <c r="E175" s="20"/>
      <c r="F175" s="24"/>
      <c r="G175" s="21"/>
    </row>
    <row r="176" spans="1:7" s="25" customFormat="1">
      <c r="A176" s="24"/>
      <c r="B176" s="85"/>
      <c r="C176" s="20"/>
      <c r="D176" s="20"/>
      <c r="E176" s="20"/>
      <c r="F176" s="24"/>
      <c r="G176" s="21"/>
    </row>
    <row r="177" spans="1:7" s="25" customFormat="1">
      <c r="A177" s="24"/>
      <c r="B177" s="85"/>
      <c r="C177" s="20"/>
      <c r="D177" s="20"/>
      <c r="E177" s="20"/>
      <c r="F177" s="24"/>
      <c r="G177" s="21"/>
    </row>
    <row r="178" spans="1:7" s="25" customFormat="1">
      <c r="A178" s="24"/>
      <c r="B178" s="85"/>
      <c r="C178" s="20"/>
      <c r="D178" s="20"/>
      <c r="E178" s="20"/>
      <c r="F178" s="24"/>
      <c r="G178" s="21"/>
    </row>
    <row r="179" spans="1:7" s="25" customFormat="1">
      <c r="A179" s="24"/>
      <c r="B179" s="85"/>
      <c r="C179" s="20"/>
      <c r="D179" s="20"/>
      <c r="E179" s="20"/>
      <c r="F179" s="24"/>
      <c r="G179" s="21"/>
    </row>
    <row r="180" spans="1:7" s="25" customFormat="1">
      <c r="A180" s="24"/>
      <c r="B180" s="85"/>
      <c r="C180" s="20"/>
      <c r="D180" s="20"/>
      <c r="E180" s="20"/>
      <c r="F180" s="24"/>
      <c r="G180" s="21"/>
    </row>
    <row r="181" spans="1:7" s="25" customFormat="1">
      <c r="A181" s="24"/>
      <c r="B181" s="85"/>
      <c r="C181" s="20"/>
      <c r="D181" s="20"/>
      <c r="E181" s="20"/>
      <c r="F181" s="24"/>
      <c r="G181" s="21"/>
    </row>
    <row r="182" spans="1:7" s="25" customFormat="1">
      <c r="A182" s="24"/>
      <c r="B182" s="85"/>
      <c r="C182" s="20"/>
      <c r="D182" s="20"/>
      <c r="E182" s="20"/>
      <c r="F182" s="24"/>
      <c r="G182" s="21"/>
    </row>
    <row r="183" spans="1:7" s="25" customFormat="1">
      <c r="A183" s="24"/>
      <c r="B183" s="85"/>
      <c r="C183" s="20"/>
      <c r="D183" s="20"/>
      <c r="E183" s="20"/>
      <c r="F183" s="24"/>
      <c r="G183" s="21"/>
    </row>
    <row r="184" spans="1:7" s="25" customFormat="1">
      <c r="A184" s="24"/>
      <c r="B184" s="85"/>
      <c r="C184" s="20"/>
      <c r="D184" s="20"/>
      <c r="E184" s="20"/>
      <c r="F184" s="24"/>
      <c r="G184" s="21"/>
    </row>
    <row r="185" spans="1:7" s="25" customFormat="1">
      <c r="A185" s="24"/>
      <c r="B185" s="85"/>
      <c r="C185" s="20"/>
      <c r="D185" s="20"/>
      <c r="E185" s="20"/>
      <c r="F185" s="24"/>
      <c r="G185" s="21"/>
    </row>
    <row r="186" spans="1:7" s="25" customFormat="1">
      <c r="A186" s="24"/>
      <c r="B186" s="85"/>
      <c r="C186" s="20"/>
      <c r="D186" s="20"/>
      <c r="E186" s="20"/>
      <c r="F186" s="24"/>
      <c r="G186" s="21"/>
    </row>
    <row r="187" spans="1:7" s="25" customFormat="1">
      <c r="A187" s="24"/>
      <c r="B187" s="85"/>
      <c r="C187" s="20"/>
      <c r="D187" s="20"/>
      <c r="E187" s="20"/>
      <c r="F187" s="24"/>
      <c r="G187" s="21"/>
    </row>
    <row r="188" spans="1:7" s="25" customFormat="1">
      <c r="A188" s="24"/>
      <c r="B188" s="85"/>
      <c r="C188" s="20"/>
      <c r="D188" s="20"/>
      <c r="E188" s="20"/>
      <c r="F188" s="24"/>
      <c r="G188" s="21"/>
    </row>
    <row r="189" spans="1:7" s="25" customFormat="1">
      <c r="A189" s="24"/>
      <c r="B189" s="85"/>
      <c r="C189" s="20"/>
      <c r="D189" s="20"/>
      <c r="E189" s="20"/>
      <c r="F189" s="24"/>
      <c r="G189" s="21"/>
    </row>
    <row r="190" spans="1:7" s="25" customFormat="1">
      <c r="A190" s="24"/>
      <c r="B190" s="85"/>
      <c r="C190" s="20"/>
      <c r="D190" s="20"/>
      <c r="E190" s="20"/>
      <c r="F190" s="24"/>
      <c r="G190" s="21"/>
    </row>
    <row r="191" spans="1:7" s="25" customFormat="1">
      <c r="A191" s="24"/>
      <c r="B191" s="85"/>
      <c r="C191" s="20"/>
      <c r="D191" s="20"/>
      <c r="E191" s="20"/>
      <c r="F191" s="24"/>
      <c r="G191" s="21"/>
    </row>
    <row r="192" spans="1:7" s="25" customFormat="1">
      <c r="A192" s="24"/>
      <c r="B192" s="85"/>
      <c r="C192" s="20"/>
      <c r="D192" s="20"/>
      <c r="E192" s="20"/>
      <c r="F192" s="24"/>
      <c r="G192" s="21"/>
    </row>
    <row r="193" spans="1:7" s="25" customFormat="1">
      <c r="A193" s="24"/>
      <c r="B193" s="85"/>
      <c r="C193" s="20"/>
      <c r="D193" s="20"/>
      <c r="E193" s="20"/>
      <c r="F193" s="24"/>
      <c r="G193" s="21"/>
    </row>
    <row r="194" spans="1:7" s="25" customFormat="1">
      <c r="A194" s="24"/>
      <c r="B194" s="85"/>
      <c r="C194" s="20"/>
      <c r="D194" s="20"/>
      <c r="E194" s="20"/>
      <c r="F194" s="24"/>
      <c r="G194" s="21"/>
    </row>
    <row r="195" spans="1:7" s="25" customFormat="1">
      <c r="A195" s="24"/>
      <c r="B195" s="85"/>
      <c r="C195" s="20"/>
      <c r="D195" s="20"/>
      <c r="E195" s="20"/>
      <c r="F195" s="24"/>
      <c r="G195" s="21"/>
    </row>
    <row r="196" spans="1:7" s="25" customFormat="1">
      <c r="A196" s="24"/>
      <c r="B196" s="85"/>
      <c r="C196" s="20"/>
      <c r="D196" s="20"/>
      <c r="E196" s="20"/>
      <c r="F196" s="24"/>
      <c r="G196" s="21"/>
    </row>
    <row r="197" spans="1:7" s="25" customFormat="1">
      <c r="A197" s="24"/>
      <c r="B197" s="85"/>
      <c r="C197" s="20"/>
      <c r="D197" s="20"/>
      <c r="E197" s="20"/>
      <c r="F197" s="24"/>
      <c r="G197" s="21"/>
    </row>
    <row r="198" spans="1:7" s="25" customFormat="1">
      <c r="A198" s="24"/>
      <c r="B198" s="85"/>
      <c r="C198" s="20"/>
      <c r="D198" s="20"/>
      <c r="E198" s="20"/>
      <c r="F198" s="24"/>
      <c r="G198" s="21"/>
    </row>
    <row r="199" spans="1:7" s="25" customFormat="1">
      <c r="A199" s="24"/>
      <c r="B199" s="85"/>
      <c r="C199" s="20"/>
      <c r="D199" s="20"/>
      <c r="E199" s="20"/>
      <c r="F199" s="24"/>
      <c r="G199" s="21"/>
    </row>
    <row r="200" spans="1:7" s="25" customFormat="1">
      <c r="A200" s="24"/>
      <c r="B200" s="85"/>
      <c r="C200" s="20"/>
      <c r="D200" s="20"/>
      <c r="E200" s="20"/>
      <c r="F200" s="24"/>
      <c r="G200" s="21"/>
    </row>
    <row r="201" spans="1:7" s="25" customFormat="1">
      <c r="A201" s="24"/>
      <c r="B201" s="85"/>
      <c r="C201" s="20"/>
      <c r="D201" s="20"/>
      <c r="E201" s="20"/>
      <c r="F201" s="24"/>
      <c r="G201" s="21"/>
    </row>
    <row r="202" spans="1:7" s="25" customFormat="1">
      <c r="A202" s="24"/>
      <c r="B202" s="85"/>
      <c r="C202" s="20"/>
      <c r="D202" s="20"/>
      <c r="E202" s="20"/>
      <c r="F202" s="24"/>
      <c r="G202" s="21"/>
    </row>
  </sheetData>
  <sheetProtection selectLockedCells="1" selectUnlockedCells="1"/>
  <mergeCells count="3">
    <mergeCell ref="A4:J4"/>
    <mergeCell ref="A35:G35"/>
    <mergeCell ref="A62:G62"/>
  </mergeCells>
  <pageMargins left="0.39374999999999999" right="0.39374999999999999" top="0.39374999999999999" bottom="0.39374999999999999" header="0.51180555555555551" footer="0.51180555555555551"/>
  <pageSetup paperSize="9" firstPageNumber="0" orientation="landscape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"/>
  <sheetViews>
    <sheetView topLeftCell="A4" zoomScale="78" zoomScaleNormal="78" workbookViewId="0">
      <selection activeCell="O19" sqref="O19"/>
    </sheetView>
  </sheetViews>
  <sheetFormatPr defaultColWidth="14.44140625" defaultRowHeight="15.75" customHeight="1"/>
  <cols>
    <col min="1" max="1" width="5.44140625" style="86" customWidth="1"/>
    <col min="2" max="2" width="28.6640625" style="86" customWidth="1"/>
    <col min="3" max="3" width="8.5546875" style="86" customWidth="1"/>
    <col min="4" max="4" width="7.6640625" style="86" customWidth="1"/>
    <col min="5" max="5" width="9.5546875" style="86" customWidth="1"/>
    <col min="6" max="6" width="9.33203125" style="86" customWidth="1"/>
    <col min="7" max="8" width="7" style="86" customWidth="1"/>
    <col min="9" max="9" width="8.109375" style="86" customWidth="1"/>
    <col min="10" max="10" width="7.5546875" style="86" customWidth="1"/>
    <col min="11" max="11" width="8.109375" style="86" customWidth="1"/>
    <col min="12" max="12" width="7" style="86" customWidth="1"/>
    <col min="13" max="13" width="7.44140625" style="86" customWidth="1"/>
    <col min="14" max="14" width="8.6640625" style="86" customWidth="1"/>
    <col min="15" max="15" width="9.44140625" style="86" customWidth="1"/>
    <col min="16" max="16384" width="14.44140625" style="86"/>
  </cols>
  <sheetData>
    <row r="1" spans="1:15" ht="20.85" customHeight="1">
      <c r="A1" s="87" t="s">
        <v>128</v>
      </c>
    </row>
    <row r="2" spans="1:15" ht="15.75" customHeight="1">
      <c r="A2" s="101"/>
      <c r="B2" s="102" t="s">
        <v>1</v>
      </c>
      <c r="C2" s="103" t="s">
        <v>2</v>
      </c>
      <c r="D2" s="103"/>
      <c r="E2" s="103"/>
      <c r="F2" s="103"/>
      <c r="G2" s="103"/>
      <c r="H2" s="103"/>
      <c r="I2" s="103"/>
      <c r="J2" s="103"/>
      <c r="K2" s="103"/>
      <c r="L2" s="103"/>
      <c r="M2" s="103"/>
      <c r="N2" s="103"/>
      <c r="O2" s="103"/>
    </row>
    <row r="3" spans="1:15" ht="125.4" customHeight="1">
      <c r="A3" s="101"/>
      <c r="B3" s="101"/>
      <c r="C3" s="90" t="s">
        <v>3</v>
      </c>
      <c r="D3" s="90" t="s">
        <v>4</v>
      </c>
      <c r="E3" s="90" t="s">
        <v>5</v>
      </c>
      <c r="F3" s="90" t="s">
        <v>6</v>
      </c>
      <c r="G3" s="90" t="s">
        <v>7</v>
      </c>
      <c r="H3" s="90" t="s">
        <v>8</v>
      </c>
      <c r="I3" s="90" t="s">
        <v>9</v>
      </c>
      <c r="J3" s="90" t="s">
        <v>10</v>
      </c>
      <c r="K3" s="90" t="s">
        <v>11</v>
      </c>
      <c r="L3" s="90" t="s">
        <v>12</v>
      </c>
      <c r="M3" s="88"/>
      <c r="N3" s="90" t="s">
        <v>13</v>
      </c>
      <c r="O3" s="90" t="s">
        <v>14</v>
      </c>
    </row>
    <row r="4" spans="1:15" ht="11.1" customHeight="1">
      <c r="A4" s="91">
        <v>1</v>
      </c>
      <c r="B4" s="92" t="s">
        <v>129</v>
      </c>
      <c r="C4" s="88">
        <v>9</v>
      </c>
      <c r="D4" s="88">
        <v>2</v>
      </c>
      <c r="E4" s="88">
        <v>4</v>
      </c>
      <c r="F4" s="88">
        <v>4</v>
      </c>
      <c r="G4" s="88"/>
      <c r="H4" s="88"/>
      <c r="I4" s="88">
        <v>1</v>
      </c>
      <c r="J4" s="88">
        <v>1</v>
      </c>
      <c r="K4" s="88">
        <v>2</v>
      </c>
      <c r="L4" s="88">
        <v>1</v>
      </c>
      <c r="M4" s="88"/>
      <c r="N4" s="88">
        <v>1</v>
      </c>
      <c r="O4" s="88">
        <f>SUM(C4:N4)</f>
        <v>25</v>
      </c>
    </row>
    <row r="5" spans="1:15" ht="12.75" customHeight="1">
      <c r="A5" s="91">
        <v>2</v>
      </c>
      <c r="B5" s="89" t="s">
        <v>130</v>
      </c>
      <c r="C5" s="88">
        <v>9</v>
      </c>
      <c r="D5" s="88">
        <v>2</v>
      </c>
      <c r="E5" s="88">
        <v>4</v>
      </c>
      <c r="F5" s="88">
        <v>4</v>
      </c>
      <c r="G5" s="88"/>
      <c r="H5" s="88"/>
      <c r="I5" s="88">
        <v>1</v>
      </c>
      <c r="J5" s="88">
        <v>1</v>
      </c>
      <c r="K5" s="88"/>
      <c r="L5" s="88">
        <v>1</v>
      </c>
      <c r="M5" s="88"/>
      <c r="N5" s="88">
        <v>1</v>
      </c>
      <c r="O5" s="88">
        <f>SUM(C5:N5)</f>
        <v>23</v>
      </c>
    </row>
    <row r="6" spans="1:15" ht="12.75" customHeight="1">
      <c r="A6" s="91">
        <v>4</v>
      </c>
      <c r="B6" s="89" t="s">
        <v>131</v>
      </c>
      <c r="C6" s="88">
        <v>9</v>
      </c>
      <c r="D6" s="88">
        <v>2</v>
      </c>
      <c r="E6" s="88">
        <v>4</v>
      </c>
      <c r="F6" s="88">
        <v>4</v>
      </c>
      <c r="G6" s="88"/>
      <c r="H6" s="88"/>
      <c r="I6" s="88">
        <v>1</v>
      </c>
      <c r="J6" s="88">
        <v>1</v>
      </c>
      <c r="K6" s="88"/>
      <c r="L6" s="88">
        <v>1</v>
      </c>
      <c r="M6" s="88"/>
      <c r="N6" s="88">
        <v>1</v>
      </c>
      <c r="O6" s="88">
        <f>SUM(C6:N6)</f>
        <v>23</v>
      </c>
    </row>
    <row r="7" spans="1:15" ht="12.75" customHeight="1">
      <c r="A7" s="91">
        <v>5</v>
      </c>
      <c r="B7" s="11" t="s">
        <v>132</v>
      </c>
      <c r="C7" s="93">
        <v>9</v>
      </c>
      <c r="D7" s="93">
        <v>2</v>
      </c>
      <c r="E7" s="93">
        <v>4</v>
      </c>
      <c r="F7" s="93">
        <v>4</v>
      </c>
      <c r="G7" s="93">
        <v>4</v>
      </c>
      <c r="H7" s="93"/>
      <c r="I7" s="93">
        <v>1</v>
      </c>
      <c r="J7" s="93">
        <v>1</v>
      </c>
      <c r="K7" s="93"/>
      <c r="L7" s="93">
        <v>1</v>
      </c>
      <c r="M7" s="93"/>
      <c r="N7" s="93">
        <v>1</v>
      </c>
      <c r="O7" s="93">
        <f>SUM(C7:N7)</f>
        <v>27</v>
      </c>
    </row>
    <row r="8" spans="1:15" ht="12.75" customHeight="1">
      <c r="A8" s="94"/>
      <c r="B8" s="89"/>
      <c r="C8" s="88"/>
      <c r="D8" s="88"/>
      <c r="E8" s="88"/>
      <c r="F8" s="88"/>
      <c r="G8" s="88"/>
      <c r="H8" s="88"/>
      <c r="I8" s="88"/>
      <c r="J8" s="88"/>
      <c r="K8" s="88"/>
      <c r="L8" s="88"/>
      <c r="M8" s="88"/>
      <c r="N8" s="88"/>
      <c r="O8" s="88"/>
    </row>
    <row r="9" spans="1:15" ht="12.75" customHeight="1">
      <c r="A9" s="95"/>
      <c r="B9" s="89"/>
      <c r="C9" s="88">
        <f t="shared" ref="C9:O9" si="0">SUM(C4:C8)</f>
        <v>36</v>
      </c>
      <c r="D9" s="88">
        <f t="shared" si="0"/>
        <v>8</v>
      </c>
      <c r="E9" s="88">
        <f t="shared" si="0"/>
        <v>16</v>
      </c>
      <c r="F9" s="88">
        <f t="shared" si="0"/>
        <v>16</v>
      </c>
      <c r="G9" s="88">
        <f t="shared" si="0"/>
        <v>4</v>
      </c>
      <c r="H9" s="88">
        <f t="shared" si="0"/>
        <v>0</v>
      </c>
      <c r="I9" s="88">
        <f t="shared" si="0"/>
        <v>4</v>
      </c>
      <c r="J9" s="88">
        <f t="shared" si="0"/>
        <v>4</v>
      </c>
      <c r="K9" s="88">
        <f t="shared" si="0"/>
        <v>2</v>
      </c>
      <c r="L9" s="88">
        <f t="shared" si="0"/>
        <v>4</v>
      </c>
      <c r="M9" s="88">
        <f t="shared" si="0"/>
        <v>0</v>
      </c>
      <c r="N9" s="88">
        <f t="shared" si="0"/>
        <v>4</v>
      </c>
      <c r="O9" s="88">
        <f t="shared" si="0"/>
        <v>98</v>
      </c>
    </row>
    <row r="10" spans="1:15" ht="21.75" customHeight="1">
      <c r="A10" s="87" t="s">
        <v>133</v>
      </c>
      <c r="O10" s="86">
        <f>O9+340</f>
        <v>438</v>
      </c>
    </row>
    <row r="11" spans="1:15" ht="15.75" customHeight="1">
      <c r="A11" s="101"/>
      <c r="B11" s="102" t="s">
        <v>1</v>
      </c>
      <c r="C11" s="103" t="s">
        <v>2</v>
      </c>
      <c r="D11" s="103"/>
      <c r="E11" s="103"/>
      <c r="F11" s="103"/>
      <c r="G11" s="103"/>
      <c r="H11" s="103"/>
      <c r="I11" s="103"/>
      <c r="J11" s="103"/>
      <c r="K11" s="103"/>
      <c r="L11" s="103"/>
      <c r="M11" s="103"/>
      <c r="N11" s="103"/>
      <c r="O11" s="103"/>
    </row>
    <row r="12" spans="1:15" ht="116.4" customHeight="1">
      <c r="A12" s="101"/>
      <c r="B12" s="101"/>
      <c r="C12" s="90" t="s">
        <v>3</v>
      </c>
      <c r="D12" s="90" t="s">
        <v>4</v>
      </c>
      <c r="E12" s="90" t="s">
        <v>5</v>
      </c>
      <c r="F12" s="90" t="s">
        <v>6</v>
      </c>
      <c r="G12" s="90" t="s">
        <v>7</v>
      </c>
      <c r="H12" s="90" t="s">
        <v>8</v>
      </c>
      <c r="I12" s="90" t="s">
        <v>9</v>
      </c>
      <c r="J12" s="90" t="s">
        <v>10</v>
      </c>
      <c r="K12" s="90" t="s">
        <v>11</v>
      </c>
      <c r="L12" s="90" t="s">
        <v>12</v>
      </c>
      <c r="M12" s="88"/>
      <c r="N12" s="90" t="s">
        <v>13</v>
      </c>
      <c r="O12" s="90" t="s">
        <v>14</v>
      </c>
    </row>
    <row r="13" spans="1:15" ht="13.35" customHeight="1">
      <c r="A13" s="91">
        <v>1</v>
      </c>
      <c r="B13" s="92" t="s">
        <v>129</v>
      </c>
      <c r="C13" s="88">
        <v>33.630000000000003</v>
      </c>
      <c r="D13" s="88">
        <v>6.23</v>
      </c>
      <c r="E13" s="88">
        <v>14.95</v>
      </c>
      <c r="F13" s="88">
        <v>5.61</v>
      </c>
      <c r="G13" s="88"/>
      <c r="H13" s="88"/>
      <c r="I13" s="88">
        <v>3.74</v>
      </c>
      <c r="J13" s="88">
        <v>14.95</v>
      </c>
      <c r="K13" s="88">
        <v>2.8</v>
      </c>
      <c r="L13" s="88">
        <v>6.54</v>
      </c>
      <c r="M13" s="88"/>
      <c r="N13" s="88">
        <v>3.11</v>
      </c>
      <c r="O13" s="88">
        <f>SUM(C13:N13)</f>
        <v>91.56</v>
      </c>
    </row>
    <row r="14" spans="1:15" ht="12.75" customHeight="1">
      <c r="A14" s="91">
        <v>2</v>
      </c>
      <c r="B14" s="89" t="s">
        <v>130</v>
      </c>
      <c r="C14" s="88">
        <v>92.45</v>
      </c>
      <c r="D14" s="88">
        <v>17.12</v>
      </c>
      <c r="E14" s="88">
        <v>41.08</v>
      </c>
      <c r="F14" s="88">
        <v>15.41</v>
      </c>
      <c r="G14" s="88"/>
      <c r="H14" s="88"/>
      <c r="I14" s="88">
        <v>10.27</v>
      </c>
      <c r="J14" s="88">
        <v>41.08</v>
      </c>
      <c r="K14" s="88"/>
      <c r="L14" s="88">
        <v>17.98</v>
      </c>
      <c r="M14" s="88"/>
      <c r="N14" s="88">
        <v>8.56</v>
      </c>
      <c r="O14" s="88">
        <f>SUM(C14:N14)</f>
        <v>243.95000000000002</v>
      </c>
    </row>
    <row r="15" spans="1:15" ht="12.75" customHeight="1">
      <c r="A15" s="91">
        <v>4</v>
      </c>
      <c r="B15" s="89" t="s">
        <v>131</v>
      </c>
      <c r="C15" s="88">
        <v>7.19</v>
      </c>
      <c r="D15" s="88">
        <v>1.33</v>
      </c>
      <c r="E15" s="88">
        <v>3.2</v>
      </c>
      <c r="F15" s="88">
        <v>1.2</v>
      </c>
      <c r="G15" s="88"/>
      <c r="H15" s="88"/>
      <c r="I15" s="88">
        <v>0.8</v>
      </c>
      <c r="J15" s="88">
        <v>3.2</v>
      </c>
      <c r="K15" s="88"/>
      <c r="L15" s="88">
        <v>1.4</v>
      </c>
      <c r="M15" s="88"/>
      <c r="N15" s="88">
        <v>0.67</v>
      </c>
      <c r="O15" s="88">
        <f>SUM(C15:N15)</f>
        <v>18.989999999999998</v>
      </c>
    </row>
    <row r="16" spans="1:15" ht="12.75" customHeight="1">
      <c r="A16" s="91">
        <v>5</v>
      </c>
      <c r="B16" s="11" t="s">
        <v>132</v>
      </c>
      <c r="C16" s="88">
        <v>40.1</v>
      </c>
      <c r="D16" s="88">
        <v>7.42</v>
      </c>
      <c r="E16" s="88">
        <v>17.82</v>
      </c>
      <c r="F16" s="88">
        <v>6.68</v>
      </c>
      <c r="G16" s="88">
        <v>13.37</v>
      </c>
      <c r="H16" s="88"/>
      <c r="I16" s="88">
        <v>4.46</v>
      </c>
      <c r="J16" s="88">
        <v>17.82</v>
      </c>
      <c r="K16" s="88"/>
      <c r="L16" s="88">
        <v>7.8</v>
      </c>
      <c r="M16" s="88"/>
      <c r="N16" s="88">
        <v>3.71</v>
      </c>
      <c r="O16" s="88">
        <f>SUM(C16:N16)</f>
        <v>119.18</v>
      </c>
    </row>
    <row r="17" spans="1:15" ht="12.75" customHeight="1">
      <c r="A17" s="94"/>
      <c r="B17" s="89"/>
      <c r="C17" s="88"/>
      <c r="D17" s="88"/>
      <c r="E17" s="88"/>
      <c r="F17" s="88"/>
      <c r="G17" s="88"/>
      <c r="H17" s="88"/>
      <c r="I17" s="88"/>
      <c r="J17" s="88"/>
      <c r="K17" s="88"/>
      <c r="L17" s="88"/>
      <c r="M17" s="88"/>
      <c r="N17" s="88"/>
      <c r="O17" s="88">
        <v>2609.06</v>
      </c>
    </row>
    <row r="18" spans="1:15" ht="26.25" customHeight="1">
      <c r="A18" s="95"/>
      <c r="B18" s="89"/>
      <c r="C18" s="88">
        <f t="shared" ref="C18:N18" si="1">SUM(C13:C17)</f>
        <v>173.37</v>
      </c>
      <c r="D18" s="88">
        <f t="shared" si="1"/>
        <v>32.1</v>
      </c>
      <c r="E18" s="88">
        <f t="shared" si="1"/>
        <v>77.050000000000011</v>
      </c>
      <c r="F18" s="88">
        <f t="shared" si="1"/>
        <v>28.9</v>
      </c>
      <c r="G18" s="88">
        <f t="shared" si="1"/>
        <v>13.37</v>
      </c>
      <c r="H18" s="88">
        <f t="shared" si="1"/>
        <v>0</v>
      </c>
      <c r="I18" s="88">
        <f t="shared" si="1"/>
        <v>19.27</v>
      </c>
      <c r="J18" s="88">
        <f t="shared" si="1"/>
        <v>77.050000000000011</v>
      </c>
      <c r="K18" s="88">
        <f t="shared" si="1"/>
        <v>2.8</v>
      </c>
      <c r="L18" s="88">
        <f t="shared" si="1"/>
        <v>33.72</v>
      </c>
      <c r="M18" s="88">
        <f t="shared" si="1"/>
        <v>0</v>
      </c>
      <c r="N18" s="88">
        <f t="shared" si="1"/>
        <v>16.05</v>
      </c>
      <c r="O18" s="88">
        <f>SUM(C18:N18)</f>
        <v>473.68</v>
      </c>
    </row>
    <row r="19" spans="1:15" ht="15.75" customHeight="1">
      <c r="O19" s="86">
        <f>O18+O17</f>
        <v>3082.74</v>
      </c>
    </row>
  </sheetData>
  <sheetProtection selectLockedCells="1" selectUnlockedCells="1"/>
  <mergeCells count="6">
    <mergeCell ref="A2:A3"/>
    <mergeCell ref="B2:B3"/>
    <mergeCell ref="C2:O2"/>
    <mergeCell ref="A11:A12"/>
    <mergeCell ref="B11:B12"/>
    <mergeCell ref="C11:O11"/>
  </mergeCells>
  <pageMargins left="0.39374999999999999" right="0.39374999999999999" top="0.65902777777777777" bottom="0.65902777777777777" header="0.39374999999999999" footer="0.39374999999999999"/>
  <pageSetup paperSize="9" firstPageNumber="0" orientation="landscape" horizontalDpi="300" verticalDpi="300"/>
  <headerFooter alignWithMargins="0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Бесплатники</vt:lpstr>
      <vt:lpstr>Услуги-Деньги</vt:lpstr>
      <vt:lpstr>Частичники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2026-06-21T13:42:03Z</dcterms:created>
  <dcterms:modified xsi:type="dcterms:W3CDTF">2026-06-21T13:42:03Z</dcterms:modified>
</cp:coreProperties>
</file>