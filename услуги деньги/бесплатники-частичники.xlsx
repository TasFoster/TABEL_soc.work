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рабочая\ежемесячные плановые работы\Реестры апрель 2026\отчеты\"/>
    </mc:Choice>
  </mc:AlternateContent>
  <xr:revisionPtr revIDLastSave="0" documentId="13_ncr:1_{43BDF528-F72F-4A29-8298-B81A52A064AA}" xr6:coauthVersionLast="45" xr6:coauthVersionMax="45" xr10:uidLastSave="{00000000-0000-0000-0000-000000000000}"/>
  <bookViews>
    <workbookView xWindow="-120" yWindow="-120" windowWidth="29040" windowHeight="15720" xr2:uid="{1B34163C-48EE-43AF-B0DE-169ADACA460C}"/>
  </bookViews>
  <sheets>
    <sheet name="бесплатники" sheetId="1" r:id="rId1"/>
    <sheet name="частичник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7" i="1" l="1"/>
  <c r="N10" i="2" l="1"/>
  <c r="M10" i="2"/>
  <c r="L10" i="2"/>
  <c r="K10" i="2"/>
  <c r="J10" i="2"/>
  <c r="I10" i="2"/>
  <c r="H10" i="2"/>
  <c r="G10" i="2"/>
  <c r="F10" i="2"/>
  <c r="E10" i="2"/>
  <c r="D10" i="2"/>
  <c r="C10" i="2"/>
  <c r="O10" i="2" s="1"/>
  <c r="O9" i="2"/>
  <c r="N5" i="2"/>
  <c r="M5" i="2"/>
  <c r="L5" i="2"/>
  <c r="K5" i="2"/>
  <c r="J5" i="2"/>
  <c r="I5" i="2"/>
  <c r="H5" i="2"/>
  <c r="G5" i="2"/>
  <c r="F5" i="2"/>
  <c r="E5" i="2"/>
  <c r="D5" i="2"/>
  <c r="C5" i="2"/>
  <c r="O4" i="2"/>
  <c r="O5" i="2" s="1"/>
  <c r="N25" i="1"/>
  <c r="N8" i="1"/>
  <c r="N20" i="1"/>
  <c r="M27" i="1"/>
  <c r="L27" i="1"/>
  <c r="K27" i="1"/>
  <c r="J27" i="1"/>
  <c r="I27" i="1"/>
  <c r="H27" i="1"/>
  <c r="G27" i="1"/>
  <c r="F27" i="1"/>
  <c r="E27" i="1"/>
  <c r="D27" i="1"/>
  <c r="C27" i="1"/>
  <c r="N26" i="1"/>
  <c r="N24" i="1"/>
  <c r="N23" i="1"/>
  <c r="N22" i="1"/>
  <c r="N21" i="1"/>
  <c r="N19" i="1"/>
  <c r="N18" i="1"/>
  <c r="N17" i="1"/>
  <c r="N16" i="1"/>
  <c r="N15" i="1"/>
  <c r="N14" i="1"/>
  <c r="N13" i="1"/>
  <c r="N12" i="1"/>
  <c r="N11" i="1"/>
  <c r="N10" i="1"/>
  <c r="N9" i="1"/>
  <c r="N6" i="1"/>
  <c r="N5" i="1"/>
  <c r="N4" i="1"/>
  <c r="N27" i="1" l="1"/>
</calcChain>
</file>

<file path=xl/sharedStrings.xml><?xml version="1.0" encoding="utf-8"?>
<sst xmlns="http://schemas.openxmlformats.org/spreadsheetml/2006/main" count="69" uniqueCount="53">
  <si>
    <t>№п/п</t>
  </si>
  <si>
    <t>ФИО гражданина</t>
  </si>
  <si>
    <t>Оплата за счет средств получателей социальных услуг жилищно-коммунальных услуг и услуг связи</t>
  </si>
  <si>
    <t>Отправка за счет средств получателей социальных услуг почтовой корреспонденции</t>
  </si>
  <si>
    <t>Покупка за счет средств получателей социальных услуг и доставка книг, газет, журналов</t>
  </si>
  <si>
    <t>Покупка за счет средств получателей социальных услуг и доставка продуктов питания</t>
  </si>
  <si>
    <t>Покупка за счет средств получателей социальных услуг и доставка промышленных товаров первой необходимости</t>
  </si>
  <si>
    <t>Покупка за счет средств получателей социальных услуг и доставка средств санитарии и гигиены, лекарственных препаратов, назначенных по медицинским показаниям</t>
  </si>
  <si>
    <t>Помощь в приготовлении пищи</t>
  </si>
  <si>
    <t>Уборка жилых помещений</t>
  </si>
  <si>
    <t>Обучение родственников практическим навыкам общего ухода за тяжелобольными получателями социальных услуг, получателями социальных услуг, имеющими ограничения жизнедеятельности, в том числе за детьми-инвалидами</t>
  </si>
  <si>
    <t>Оказание помощи в оформлении и восстановлении документов получателей социальных услуг</t>
  </si>
  <si>
    <t>Оказание психологической помощи и поддержки, в том числе гражданам, осуществляющим уход на дому за тяжелобольными получателями социальных услуг</t>
  </si>
  <si>
    <t>Володина Надежда Николаевна</t>
  </si>
  <si>
    <t>Геворкян Ромела Максимовна</t>
  </si>
  <si>
    <t>Дружинина Галина Федоровна</t>
  </si>
  <si>
    <t>Илясова Наталия Николаевна</t>
  </si>
  <si>
    <t>Керечанина Людмила Васильевна</t>
  </si>
  <si>
    <t>Компанеева Галина Владимировна</t>
  </si>
  <si>
    <t>Малоземова Нина Алиевна</t>
  </si>
  <si>
    <t>Патокина Тамара Викторовна</t>
  </si>
  <si>
    <t>Переходникова Антонина Михайловна</t>
  </si>
  <si>
    <t>Печерская Татьяна Александровна</t>
  </si>
  <si>
    <t>Позднякова Татьяна Геннадьевна</t>
  </si>
  <si>
    <t>Прокофьева Наталья Владимировна</t>
  </si>
  <si>
    <t>Прошина Наталья Николаевна</t>
  </si>
  <si>
    <t>Рыжикова Надежда Владимировна</t>
  </si>
  <si>
    <t>Селиверстова Галина Владимировна</t>
  </si>
  <si>
    <t>Кондракова Людмила Анатольевна</t>
  </si>
  <si>
    <t>Степанова Виктория Викторовна</t>
  </si>
  <si>
    <t>Федорчак Вера Николаевна</t>
  </si>
  <si>
    <t>Фесенко Ирина Александровна</t>
  </si>
  <si>
    <t>Хребтищева Ирина Владимировна</t>
  </si>
  <si>
    <t>Яшина Елена Юрьевна</t>
  </si>
  <si>
    <t>Шорбан Лариса Ивановна</t>
  </si>
  <si>
    <t>Реестр учета оказания социальных услуг отделением социального обслуживания на дому № 9 за   февраль 2026г.</t>
  </si>
  <si>
    <t>ФИО
получателя услуг</t>
  </si>
  <si>
    <t>Социально-бытовые услуги Соц.- псих. услуги Соц.-правов. усл.</t>
  </si>
  <si>
    <t>2. Покупка за счет средств получателей социальных услуг и доставка продуктов питания</t>
  </si>
  <si>
    <t>3. Покупка за счет средств получателей социальных услуг и доставка промышленных товаров первой необходимости</t>
  </si>
  <si>
    <t>4. Покупка за счет средств получателей социальных услуг и доставка средств санитарии и гигиены, , лекарственных препаратов, назначенных по медицинским показаниям</t>
  </si>
  <si>
    <t>5. Покупка за счет средств получателей социальных услуг и доставка книг, газет, журналов</t>
  </si>
  <si>
    <t>6. Помощь в приготовлении пищи</t>
  </si>
  <si>
    <t>7. Обеспечение водой ( в жилых помещениях без водоснабжения)</t>
  </si>
  <si>
    <t>8. Оплата за счет средств получателей социальных услуг жилищно-коммунальных услуг и услуг связи</t>
  </si>
  <si>
    <t>14. Уборка жилых помк ещений</t>
  </si>
  <si>
    <t>15 . Отправка за счет средств получателей социальных услуг почтовой корреспонденции</t>
  </si>
  <si>
    <t>Оказание психологической помощи и поддержка, в том числе гражданам, осуществляющим уход на дому за тяжелобольными получателями социальных услуг</t>
  </si>
  <si>
    <t>Итого услуг</t>
  </si>
  <si>
    <t>Вязовченко Ирина Юрьевна</t>
  </si>
  <si>
    <t>Реестр учета оказания социальных услуг отделением социального обслуживания на дому № 9 за декабрь 2024г.</t>
  </si>
  <si>
    <t>Елисеев Андрей  Геннадьевич</t>
  </si>
  <si>
    <t>Реестр учета оказания социальных услуг отделением социального обслуживания на дому № 9 за апрель 2026г.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</si>
</sst>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General"/>
  </numFmts>
  <fonts count="9">
    <font>
      <sz val="11"/>
      <color theme="1"/>
      <name val="Calibri"/>
      <family val="2"/>
      <charset val="204"/>
      <scheme val="minor"/>
    </font>
    <font>
      <sz val="10"/>
      <color rgb="FF000000"/>
      <name val="Arial1"/>
      <charset val="204"/>
    </font>
    <font>
      <b/>
      <sz val="14"/>
      <color rgb="FF000000"/>
      <name val="'Times New Roman'"/>
      <charset val="204"/>
    </font>
    <font>
      <sz val="12"/>
      <color rgb="FF000000"/>
      <name val="Times New Roman"/>
      <family val="1"/>
      <charset val="204"/>
    </font>
    <font>
      <b/>
      <sz val="6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1" applyNumberFormat="1" applyFont="1" applyAlignment="1"/>
    <xf numFmtId="0" fontId="5" fillId="0" borderId="5" xfId="0" applyFont="1" applyBorder="1" applyAlignment="1">
      <alignment horizontal="center" vertical="center"/>
    </xf>
    <xf numFmtId="0" fontId="5" fillId="0" borderId="1" xfId="0" applyFont="1" applyBorder="1"/>
    <xf numFmtId="0" fontId="5" fillId="0" borderId="4" xfId="0" applyFont="1" applyBorder="1"/>
    <xf numFmtId="0" fontId="6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4" xfId="0" applyFont="1" applyFill="1" applyBorder="1"/>
    <xf numFmtId="0" fontId="5" fillId="0" borderId="0" xfId="0" applyFont="1" applyFill="1" applyAlignment="1">
      <alignment horizontal="right"/>
    </xf>
    <xf numFmtId="164" fontId="7" fillId="0" borderId="0" xfId="1" applyFont="1"/>
    <xf numFmtId="164" fontId="8" fillId="0" borderId="0" xfId="1" applyFont="1"/>
    <xf numFmtId="164" fontId="8" fillId="0" borderId="2" xfId="1" applyFont="1" applyBorder="1" applyAlignment="1">
      <alignment horizontal="left" textRotation="90" wrapText="1"/>
    </xf>
    <xf numFmtId="164" fontId="7" fillId="0" borderId="2" xfId="1" applyFont="1" applyBorder="1" applyAlignment="1">
      <alignment horizontal="left" vertical="top" wrapText="1"/>
    </xf>
    <xf numFmtId="164" fontId="8" fillId="0" borderId="2" xfId="1" applyFont="1" applyBorder="1" applyAlignment="1">
      <alignment horizontal="center" wrapText="1"/>
    </xf>
    <xf numFmtId="164" fontId="8" fillId="0" borderId="6" xfId="1" applyFont="1" applyBorder="1"/>
    <xf numFmtId="164" fontId="8" fillId="0" borderId="5" xfId="1" applyFont="1" applyBorder="1" applyAlignment="1">
      <alignment horizontal="left" wrapText="1"/>
    </xf>
    <xf numFmtId="164" fontId="8" fillId="0" borderId="2" xfId="1" applyFont="1" applyBorder="1" applyAlignment="1">
      <alignment horizontal="left" wrapText="1"/>
    </xf>
    <xf numFmtId="0" fontId="2" fillId="0" borderId="0" xfId="1" applyNumberFormat="1" applyFont="1" applyAlignment="1">
      <alignment horizontal="center" wrapText="1"/>
    </xf>
    <xf numFmtId="0" fontId="2" fillId="0" borderId="3" xfId="1" applyNumberFormat="1" applyFont="1" applyBorder="1" applyAlignment="1">
      <alignment horizontal="center" wrapText="1"/>
    </xf>
    <xf numFmtId="0" fontId="0" fillId="0" borderId="2" xfId="0" applyBorder="1"/>
    <xf numFmtId="164" fontId="7" fillId="0" borderId="2" xfId="1" applyFont="1" applyBorder="1" applyAlignment="1">
      <alignment horizontal="center" vertical="top" wrapText="1"/>
    </xf>
    <xf numFmtId="164" fontId="8" fillId="0" borderId="2" xfId="1" applyFont="1" applyBorder="1" applyAlignment="1">
      <alignment horizontal="left" wrapText="1"/>
    </xf>
  </cellXfs>
  <cellStyles count="2">
    <cellStyle name="Excel Built-in Normal 1" xfId="1" xr:uid="{1D5503BE-1669-4CDF-86F2-09D85DADDA0D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1E3F0-5AF1-4703-ADA4-F8D44B4F0E89}">
  <dimension ref="A1:Q27"/>
  <sheetViews>
    <sheetView tabSelected="1" workbookViewId="0">
      <pane ySplit="2" topLeftCell="A8" activePane="bottomLeft" state="frozen"/>
      <selection pane="bottomLeft" activeCell="K16" sqref="K15:K16"/>
    </sheetView>
  </sheetViews>
  <sheetFormatPr defaultRowHeight="15"/>
  <cols>
    <col min="1" max="1" width="4.140625" customWidth="1"/>
    <col min="2" max="2" width="18.140625" customWidth="1"/>
    <col min="3" max="14" width="9.5703125" customWidth="1"/>
  </cols>
  <sheetData>
    <row r="1" spans="1:17" ht="32.25" customHeight="1">
      <c r="A1" s="25" t="s">
        <v>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8"/>
      <c r="P1" s="8"/>
      <c r="Q1" s="8"/>
    </row>
    <row r="2" spans="1:17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7" ht="175.5">
      <c r="A3" s="1" t="s">
        <v>0</v>
      </c>
      <c r="B3" s="7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3"/>
    </row>
    <row r="4" spans="1:17" ht="25.5" customHeight="1">
      <c r="A4" s="4">
        <v>1</v>
      </c>
      <c r="B4" s="5" t="s">
        <v>13</v>
      </c>
      <c r="C4" s="4">
        <v>1</v>
      </c>
      <c r="D4" s="4">
        <v>0</v>
      </c>
      <c r="E4" s="4">
        <v>4</v>
      </c>
      <c r="F4" s="4">
        <v>9</v>
      </c>
      <c r="G4" s="4">
        <v>2</v>
      </c>
      <c r="H4" s="4">
        <v>4</v>
      </c>
      <c r="I4" s="4">
        <v>0</v>
      </c>
      <c r="J4" s="4">
        <v>1</v>
      </c>
      <c r="K4" s="4">
        <v>0</v>
      </c>
      <c r="L4" s="4">
        <v>1</v>
      </c>
      <c r="M4" s="4">
        <v>1</v>
      </c>
      <c r="N4" s="10">
        <f t="shared" ref="N4:N26" si="0">SUM(C4:M4)</f>
        <v>23</v>
      </c>
    </row>
    <row r="5" spans="1:17" ht="25.5" customHeight="1">
      <c r="A5" s="4">
        <v>2</v>
      </c>
      <c r="B5" s="5" t="s">
        <v>14</v>
      </c>
      <c r="C5" s="4">
        <v>1</v>
      </c>
      <c r="D5" s="4">
        <v>0</v>
      </c>
      <c r="E5" s="4">
        <v>4</v>
      </c>
      <c r="F5" s="4">
        <v>9</v>
      </c>
      <c r="G5" s="4">
        <v>2</v>
      </c>
      <c r="H5" s="4">
        <v>4</v>
      </c>
      <c r="I5" s="4">
        <v>0</v>
      </c>
      <c r="J5" s="4">
        <v>1</v>
      </c>
      <c r="K5" s="4">
        <v>0</v>
      </c>
      <c r="L5" s="4">
        <v>1</v>
      </c>
      <c r="M5" s="9">
        <v>1</v>
      </c>
      <c r="N5" s="11">
        <f t="shared" si="0"/>
        <v>23</v>
      </c>
    </row>
    <row r="6" spans="1:17" ht="25.5" customHeight="1">
      <c r="A6" s="4">
        <v>3</v>
      </c>
      <c r="B6" s="12" t="s">
        <v>15</v>
      </c>
      <c r="C6" s="13">
        <v>1</v>
      </c>
      <c r="D6" s="13">
        <v>2</v>
      </c>
      <c r="E6" s="13">
        <v>4</v>
      </c>
      <c r="F6" s="13">
        <v>10</v>
      </c>
      <c r="G6" s="13">
        <v>2</v>
      </c>
      <c r="H6" s="13">
        <v>4</v>
      </c>
      <c r="I6" s="13">
        <v>0</v>
      </c>
      <c r="J6" s="13">
        <v>1</v>
      </c>
      <c r="K6" s="13">
        <v>0</v>
      </c>
      <c r="L6" s="13">
        <v>1</v>
      </c>
      <c r="M6" s="14">
        <v>1</v>
      </c>
      <c r="N6" s="15">
        <f t="shared" si="0"/>
        <v>26</v>
      </c>
    </row>
    <row r="7" spans="1:17" ht="25.5" customHeight="1">
      <c r="A7" s="4">
        <v>4</v>
      </c>
      <c r="B7" s="12" t="s">
        <v>51</v>
      </c>
      <c r="C7" s="13">
        <v>1</v>
      </c>
      <c r="D7" s="13">
        <v>0</v>
      </c>
      <c r="E7" s="13">
        <v>4</v>
      </c>
      <c r="F7" s="13">
        <v>9</v>
      </c>
      <c r="G7" s="13">
        <v>2</v>
      </c>
      <c r="H7" s="13">
        <v>4</v>
      </c>
      <c r="I7" s="13">
        <v>4</v>
      </c>
      <c r="J7" s="13">
        <v>1</v>
      </c>
      <c r="K7" s="13">
        <v>0</v>
      </c>
      <c r="L7" s="13">
        <v>1</v>
      </c>
      <c r="M7" s="14">
        <v>1</v>
      </c>
      <c r="N7" s="15">
        <f>SUM(C7:M7)</f>
        <v>27</v>
      </c>
    </row>
    <row r="8" spans="1:17" ht="25.5" customHeight="1">
      <c r="A8" s="4">
        <v>5</v>
      </c>
      <c r="B8" s="12" t="s">
        <v>16</v>
      </c>
      <c r="C8" s="13">
        <v>1</v>
      </c>
      <c r="D8" s="13">
        <v>0</v>
      </c>
      <c r="E8" s="13">
        <v>4</v>
      </c>
      <c r="F8" s="13">
        <v>9</v>
      </c>
      <c r="G8" s="13">
        <v>2</v>
      </c>
      <c r="H8" s="13">
        <v>4</v>
      </c>
      <c r="I8" s="13">
        <v>2</v>
      </c>
      <c r="J8" s="13">
        <v>1</v>
      </c>
      <c r="K8" s="13">
        <v>0</v>
      </c>
      <c r="L8" s="13">
        <v>1</v>
      </c>
      <c r="M8" s="14">
        <v>1</v>
      </c>
      <c r="N8" s="15">
        <f>SUM(C8:M8)</f>
        <v>25</v>
      </c>
    </row>
    <row r="9" spans="1:17" ht="25.5" customHeight="1">
      <c r="A9" s="4">
        <v>6</v>
      </c>
      <c r="B9" s="12" t="s">
        <v>17</v>
      </c>
      <c r="C9" s="13">
        <v>1</v>
      </c>
      <c r="D9" s="13">
        <v>0</v>
      </c>
      <c r="E9" s="13">
        <v>4</v>
      </c>
      <c r="F9" s="13">
        <v>9</v>
      </c>
      <c r="G9" s="13">
        <v>2</v>
      </c>
      <c r="H9" s="13">
        <v>4</v>
      </c>
      <c r="I9" s="13">
        <v>4</v>
      </c>
      <c r="J9" s="13">
        <v>1</v>
      </c>
      <c r="K9" s="13">
        <v>0</v>
      </c>
      <c r="L9" s="13">
        <v>1</v>
      </c>
      <c r="M9" s="14">
        <v>1</v>
      </c>
      <c r="N9" s="15">
        <f t="shared" si="0"/>
        <v>27</v>
      </c>
    </row>
    <row r="10" spans="1:17" ht="25.5" customHeight="1">
      <c r="A10" s="4">
        <v>7</v>
      </c>
      <c r="B10" s="12" t="s">
        <v>18</v>
      </c>
      <c r="C10" s="13">
        <v>1</v>
      </c>
      <c r="D10" s="13">
        <v>0</v>
      </c>
      <c r="E10" s="13">
        <v>4</v>
      </c>
      <c r="F10" s="13">
        <v>9</v>
      </c>
      <c r="G10" s="13">
        <v>2</v>
      </c>
      <c r="H10" s="13">
        <v>4</v>
      </c>
      <c r="I10" s="13">
        <v>0</v>
      </c>
      <c r="J10" s="13">
        <v>1</v>
      </c>
      <c r="K10" s="13">
        <v>0</v>
      </c>
      <c r="L10" s="13">
        <v>1</v>
      </c>
      <c r="M10" s="14">
        <v>1</v>
      </c>
      <c r="N10" s="15">
        <f t="shared" si="0"/>
        <v>23</v>
      </c>
    </row>
    <row r="11" spans="1:17" ht="25.5" customHeight="1">
      <c r="A11" s="4">
        <v>8</v>
      </c>
      <c r="B11" s="12" t="s">
        <v>19</v>
      </c>
      <c r="C11" s="13">
        <v>1</v>
      </c>
      <c r="D11" s="13">
        <v>0</v>
      </c>
      <c r="E11" s="13">
        <v>4</v>
      </c>
      <c r="F11" s="13">
        <v>9</v>
      </c>
      <c r="G11" s="13">
        <v>2</v>
      </c>
      <c r="H11" s="13">
        <v>4</v>
      </c>
      <c r="I11" s="13">
        <v>0</v>
      </c>
      <c r="J11" s="13">
        <v>1</v>
      </c>
      <c r="K11" s="13">
        <v>1</v>
      </c>
      <c r="L11" s="13">
        <v>1</v>
      </c>
      <c r="M11" s="14">
        <v>1</v>
      </c>
      <c r="N11" s="15">
        <f t="shared" si="0"/>
        <v>24</v>
      </c>
    </row>
    <row r="12" spans="1:17" ht="25.5" customHeight="1">
      <c r="A12" s="4">
        <v>9</v>
      </c>
      <c r="B12" s="12" t="s">
        <v>20</v>
      </c>
      <c r="C12" s="13">
        <v>1</v>
      </c>
      <c r="D12" s="13">
        <v>0</v>
      </c>
      <c r="E12" s="13">
        <v>4</v>
      </c>
      <c r="F12" s="13">
        <v>9</v>
      </c>
      <c r="G12" s="13">
        <v>2</v>
      </c>
      <c r="H12" s="13">
        <v>4</v>
      </c>
      <c r="I12" s="13">
        <v>0</v>
      </c>
      <c r="J12" s="13">
        <v>1</v>
      </c>
      <c r="K12" s="13">
        <v>0</v>
      </c>
      <c r="L12" s="13">
        <v>1</v>
      </c>
      <c r="M12" s="14">
        <v>1</v>
      </c>
      <c r="N12" s="15">
        <f t="shared" si="0"/>
        <v>23</v>
      </c>
    </row>
    <row r="13" spans="1:17" ht="25.5" customHeight="1">
      <c r="A13" s="4">
        <v>10</v>
      </c>
      <c r="B13" s="12" t="s">
        <v>21</v>
      </c>
      <c r="C13" s="13">
        <v>1</v>
      </c>
      <c r="D13" s="13">
        <v>0</v>
      </c>
      <c r="E13" s="13">
        <v>4</v>
      </c>
      <c r="F13" s="13">
        <v>9</v>
      </c>
      <c r="G13" s="13">
        <v>2</v>
      </c>
      <c r="H13" s="13">
        <v>4</v>
      </c>
      <c r="I13" s="13">
        <v>0</v>
      </c>
      <c r="J13" s="13">
        <v>1</v>
      </c>
      <c r="K13" s="13">
        <v>0</v>
      </c>
      <c r="L13" s="13">
        <v>1</v>
      </c>
      <c r="M13" s="14">
        <v>1</v>
      </c>
      <c r="N13" s="15">
        <f t="shared" si="0"/>
        <v>23</v>
      </c>
    </row>
    <row r="14" spans="1:17" ht="25.5" customHeight="1">
      <c r="A14" s="4">
        <v>11</v>
      </c>
      <c r="B14" s="12" t="s">
        <v>22</v>
      </c>
      <c r="C14" s="13">
        <v>1</v>
      </c>
      <c r="D14" s="13">
        <v>0</v>
      </c>
      <c r="E14" s="13">
        <v>4</v>
      </c>
      <c r="F14" s="13">
        <v>9</v>
      </c>
      <c r="G14" s="13">
        <v>2</v>
      </c>
      <c r="H14" s="13">
        <v>4</v>
      </c>
      <c r="I14" s="13">
        <v>0</v>
      </c>
      <c r="J14" s="13">
        <v>1</v>
      </c>
      <c r="K14" s="13">
        <v>0</v>
      </c>
      <c r="L14" s="13">
        <v>1</v>
      </c>
      <c r="M14" s="14">
        <v>1</v>
      </c>
      <c r="N14" s="15">
        <f t="shared" si="0"/>
        <v>23</v>
      </c>
    </row>
    <row r="15" spans="1:17" ht="25.5" customHeight="1">
      <c r="A15" s="4">
        <v>12</v>
      </c>
      <c r="B15" s="12" t="s">
        <v>23</v>
      </c>
      <c r="C15" s="13">
        <v>1</v>
      </c>
      <c r="D15" s="13">
        <v>0</v>
      </c>
      <c r="E15" s="13">
        <v>4</v>
      </c>
      <c r="F15" s="13">
        <v>9</v>
      </c>
      <c r="G15" s="13">
        <v>2</v>
      </c>
      <c r="H15" s="13">
        <v>4</v>
      </c>
      <c r="I15" s="13">
        <v>0</v>
      </c>
      <c r="J15" s="13">
        <v>1</v>
      </c>
      <c r="K15" s="13">
        <v>0</v>
      </c>
      <c r="L15" s="13">
        <v>1</v>
      </c>
      <c r="M15" s="14">
        <v>1</v>
      </c>
      <c r="N15" s="15">
        <f t="shared" si="0"/>
        <v>23</v>
      </c>
    </row>
    <row r="16" spans="1:17" ht="25.5" customHeight="1">
      <c r="A16" s="4">
        <v>13</v>
      </c>
      <c r="B16" s="12" t="s">
        <v>24</v>
      </c>
      <c r="C16" s="13">
        <v>1</v>
      </c>
      <c r="D16" s="13">
        <v>0</v>
      </c>
      <c r="E16" s="13">
        <v>0</v>
      </c>
      <c r="F16" s="13">
        <v>9</v>
      </c>
      <c r="G16" s="13">
        <v>2</v>
      </c>
      <c r="H16" s="13">
        <v>4</v>
      </c>
      <c r="I16" s="13">
        <v>2</v>
      </c>
      <c r="J16" s="13">
        <v>1</v>
      </c>
      <c r="K16" s="13">
        <v>0</v>
      </c>
      <c r="L16" s="13">
        <v>1</v>
      </c>
      <c r="M16" s="14">
        <v>1</v>
      </c>
      <c r="N16" s="15">
        <f t="shared" si="0"/>
        <v>21</v>
      </c>
    </row>
    <row r="17" spans="1:14" ht="25.5" customHeight="1">
      <c r="A17" s="4">
        <v>14</v>
      </c>
      <c r="B17" s="12" t="s">
        <v>25</v>
      </c>
      <c r="C17" s="13">
        <v>1</v>
      </c>
      <c r="D17" s="13">
        <v>0</v>
      </c>
      <c r="E17" s="13">
        <v>4</v>
      </c>
      <c r="F17" s="13">
        <v>9</v>
      </c>
      <c r="G17" s="13">
        <v>2</v>
      </c>
      <c r="H17" s="13">
        <v>4</v>
      </c>
      <c r="I17" s="13">
        <v>0</v>
      </c>
      <c r="J17" s="13">
        <v>1</v>
      </c>
      <c r="K17" s="13">
        <v>0</v>
      </c>
      <c r="L17" s="13">
        <v>1</v>
      </c>
      <c r="M17" s="14">
        <v>1</v>
      </c>
      <c r="N17" s="15">
        <f t="shared" si="0"/>
        <v>23</v>
      </c>
    </row>
    <row r="18" spans="1:14" ht="25.5" customHeight="1">
      <c r="A18" s="4">
        <v>15</v>
      </c>
      <c r="B18" s="12" t="s">
        <v>26</v>
      </c>
      <c r="C18" s="13">
        <v>1</v>
      </c>
      <c r="D18" s="13">
        <v>2</v>
      </c>
      <c r="E18" s="13">
        <v>4</v>
      </c>
      <c r="F18" s="13">
        <v>9</v>
      </c>
      <c r="G18" s="13">
        <v>2</v>
      </c>
      <c r="H18" s="13">
        <v>4</v>
      </c>
      <c r="I18" s="13">
        <v>4</v>
      </c>
      <c r="J18" s="13">
        <v>1</v>
      </c>
      <c r="K18" s="13">
        <v>0</v>
      </c>
      <c r="L18" s="13">
        <v>1</v>
      </c>
      <c r="M18" s="14">
        <v>1</v>
      </c>
      <c r="N18" s="15">
        <f t="shared" si="0"/>
        <v>29</v>
      </c>
    </row>
    <row r="19" spans="1:14" ht="25.5" customHeight="1">
      <c r="A19" s="4">
        <v>16</v>
      </c>
      <c r="B19" s="12" t="s">
        <v>27</v>
      </c>
      <c r="C19" s="13">
        <v>1</v>
      </c>
      <c r="D19" s="13">
        <v>0</v>
      </c>
      <c r="E19" s="13">
        <v>4</v>
      </c>
      <c r="F19" s="13">
        <v>9</v>
      </c>
      <c r="G19" s="13">
        <v>2</v>
      </c>
      <c r="H19" s="13">
        <v>4</v>
      </c>
      <c r="I19" s="13">
        <v>0</v>
      </c>
      <c r="J19" s="13">
        <v>1</v>
      </c>
      <c r="K19" s="13">
        <v>0</v>
      </c>
      <c r="L19" s="13">
        <v>1</v>
      </c>
      <c r="M19" s="14">
        <v>1</v>
      </c>
      <c r="N19" s="15">
        <f t="shared" si="0"/>
        <v>23</v>
      </c>
    </row>
    <row r="20" spans="1:14" ht="25.5" customHeight="1">
      <c r="A20" s="4">
        <v>17</v>
      </c>
      <c r="B20" s="12" t="s">
        <v>28</v>
      </c>
      <c r="C20" s="13">
        <v>1</v>
      </c>
      <c r="D20" s="13">
        <v>0</v>
      </c>
      <c r="E20" s="13">
        <v>4</v>
      </c>
      <c r="F20" s="13">
        <v>9</v>
      </c>
      <c r="G20" s="13">
        <v>2</v>
      </c>
      <c r="H20" s="13">
        <v>4</v>
      </c>
      <c r="I20" s="13">
        <v>0</v>
      </c>
      <c r="J20" s="13">
        <v>1</v>
      </c>
      <c r="K20" s="13">
        <v>0</v>
      </c>
      <c r="L20" s="13">
        <v>1</v>
      </c>
      <c r="M20" s="14">
        <v>1</v>
      </c>
      <c r="N20" s="15">
        <f t="shared" ref="N20" si="1">SUM(C20:M20)</f>
        <v>23</v>
      </c>
    </row>
    <row r="21" spans="1:14" ht="25.5" customHeight="1">
      <c r="A21" s="4">
        <v>18</v>
      </c>
      <c r="B21" s="12" t="s">
        <v>29</v>
      </c>
      <c r="C21" s="13">
        <v>1</v>
      </c>
      <c r="D21" s="13">
        <v>0</v>
      </c>
      <c r="E21" s="13">
        <v>4</v>
      </c>
      <c r="F21" s="13">
        <v>9</v>
      </c>
      <c r="G21" s="13">
        <v>2</v>
      </c>
      <c r="H21" s="13">
        <v>4</v>
      </c>
      <c r="I21" s="13">
        <v>4</v>
      </c>
      <c r="J21" s="13">
        <v>1</v>
      </c>
      <c r="K21" s="13">
        <v>0</v>
      </c>
      <c r="L21" s="13">
        <v>1</v>
      </c>
      <c r="M21" s="14">
        <v>1</v>
      </c>
      <c r="N21" s="15">
        <f t="shared" si="0"/>
        <v>27</v>
      </c>
    </row>
    <row r="22" spans="1:14" ht="25.5" customHeight="1">
      <c r="A22" s="4">
        <v>19</v>
      </c>
      <c r="B22" s="12" t="s">
        <v>30</v>
      </c>
      <c r="C22" s="13">
        <v>1</v>
      </c>
      <c r="D22" s="13">
        <v>0</v>
      </c>
      <c r="E22" s="13">
        <v>0</v>
      </c>
      <c r="F22" s="13">
        <v>9</v>
      </c>
      <c r="G22" s="13">
        <v>1</v>
      </c>
      <c r="H22" s="13">
        <v>4</v>
      </c>
      <c r="I22" s="13">
        <v>0</v>
      </c>
      <c r="J22" s="13">
        <v>1</v>
      </c>
      <c r="K22" s="13">
        <v>0</v>
      </c>
      <c r="L22" s="13">
        <v>1</v>
      </c>
      <c r="M22" s="14">
        <v>1</v>
      </c>
      <c r="N22" s="15">
        <f t="shared" si="0"/>
        <v>18</v>
      </c>
    </row>
    <row r="23" spans="1:14" ht="25.5" customHeight="1">
      <c r="A23" s="4">
        <v>20</v>
      </c>
      <c r="B23" s="12" t="s">
        <v>31</v>
      </c>
      <c r="C23" s="13">
        <v>1</v>
      </c>
      <c r="D23" s="13">
        <v>0</v>
      </c>
      <c r="E23" s="13">
        <v>4</v>
      </c>
      <c r="F23" s="13">
        <v>9</v>
      </c>
      <c r="G23" s="13">
        <v>2</v>
      </c>
      <c r="H23" s="13">
        <v>4</v>
      </c>
      <c r="I23" s="13"/>
      <c r="J23" s="13">
        <v>1</v>
      </c>
      <c r="K23" s="13">
        <v>0</v>
      </c>
      <c r="L23" s="13">
        <v>1</v>
      </c>
      <c r="M23" s="14">
        <v>1</v>
      </c>
      <c r="N23" s="15">
        <f t="shared" si="0"/>
        <v>23</v>
      </c>
    </row>
    <row r="24" spans="1:14" ht="25.5" customHeight="1">
      <c r="A24" s="4">
        <v>21</v>
      </c>
      <c r="B24" s="12" t="s">
        <v>32</v>
      </c>
      <c r="C24" s="13">
        <v>1</v>
      </c>
      <c r="D24" s="13">
        <v>0</v>
      </c>
      <c r="E24" s="13">
        <v>4</v>
      </c>
      <c r="F24" s="13">
        <v>9</v>
      </c>
      <c r="G24" s="13">
        <v>2</v>
      </c>
      <c r="H24" s="13">
        <v>4</v>
      </c>
      <c r="I24" s="13">
        <v>4</v>
      </c>
      <c r="J24" s="13">
        <v>1</v>
      </c>
      <c r="K24" s="13">
        <v>0</v>
      </c>
      <c r="L24" s="13">
        <v>1</v>
      </c>
      <c r="M24" s="14">
        <v>1</v>
      </c>
      <c r="N24" s="15">
        <f t="shared" si="0"/>
        <v>27</v>
      </c>
    </row>
    <row r="25" spans="1:14" ht="25.5" customHeight="1">
      <c r="A25" s="4">
        <v>22</v>
      </c>
      <c r="B25" s="12" t="s">
        <v>34</v>
      </c>
      <c r="C25" s="13">
        <v>1</v>
      </c>
      <c r="D25" s="13">
        <v>0</v>
      </c>
      <c r="E25" s="13">
        <v>4</v>
      </c>
      <c r="F25" s="13">
        <v>9</v>
      </c>
      <c r="G25" s="13">
        <v>2</v>
      </c>
      <c r="H25" s="13">
        <v>4</v>
      </c>
      <c r="I25" s="13">
        <v>2</v>
      </c>
      <c r="J25" s="13">
        <v>1</v>
      </c>
      <c r="K25" s="13">
        <v>0</v>
      </c>
      <c r="L25" s="13">
        <v>1</v>
      </c>
      <c r="M25" s="14">
        <v>1</v>
      </c>
      <c r="N25" s="15">
        <f>SUM(C25:M25)</f>
        <v>25</v>
      </c>
    </row>
    <row r="26" spans="1:14" ht="25.5" customHeight="1">
      <c r="A26" s="4">
        <v>23</v>
      </c>
      <c r="B26" s="12" t="s">
        <v>33</v>
      </c>
      <c r="C26" s="13">
        <v>1</v>
      </c>
      <c r="D26" s="13">
        <v>0</v>
      </c>
      <c r="E26" s="13">
        <v>4</v>
      </c>
      <c r="F26" s="13">
        <v>9</v>
      </c>
      <c r="G26" s="13">
        <v>2</v>
      </c>
      <c r="H26" s="13">
        <v>4</v>
      </c>
      <c r="I26" s="13">
        <v>0</v>
      </c>
      <c r="J26" s="13">
        <v>1</v>
      </c>
      <c r="K26" s="13">
        <v>0</v>
      </c>
      <c r="L26" s="13">
        <v>1</v>
      </c>
      <c r="M26" s="14">
        <v>1</v>
      </c>
      <c r="N26" s="15">
        <f t="shared" si="0"/>
        <v>23</v>
      </c>
    </row>
    <row r="27" spans="1:14" ht="25.5" customHeight="1">
      <c r="A27" s="6"/>
      <c r="B27" s="16"/>
      <c r="C27" s="13">
        <f t="shared" ref="C27:M27" si="2">SUM(C4:C26)</f>
        <v>23</v>
      </c>
      <c r="D27" s="13">
        <f t="shared" si="2"/>
        <v>4</v>
      </c>
      <c r="E27" s="13">
        <f t="shared" si="2"/>
        <v>84</v>
      </c>
      <c r="F27" s="13">
        <f t="shared" si="2"/>
        <v>208</v>
      </c>
      <c r="G27" s="13">
        <f t="shared" si="2"/>
        <v>45</v>
      </c>
      <c r="H27" s="13">
        <f t="shared" si="2"/>
        <v>92</v>
      </c>
      <c r="I27" s="13">
        <f t="shared" si="2"/>
        <v>26</v>
      </c>
      <c r="J27" s="13">
        <f t="shared" si="2"/>
        <v>23</v>
      </c>
      <c r="K27" s="13">
        <f t="shared" si="2"/>
        <v>1</v>
      </c>
      <c r="L27" s="13">
        <f t="shared" si="2"/>
        <v>23</v>
      </c>
      <c r="M27" s="14">
        <f t="shared" si="2"/>
        <v>23</v>
      </c>
      <c r="N27" s="15">
        <f>SUM(N4:N26)</f>
        <v>552</v>
      </c>
    </row>
  </sheetData>
  <mergeCells count="1">
    <mergeCell ref="A1:N2"/>
  </mergeCells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5AED-E324-48CB-96AD-00B4DCCF20E0}">
  <dimension ref="A1:AMJ1048576"/>
  <sheetViews>
    <sheetView workbookViewId="0">
      <selection activeCell="R5" sqref="R5"/>
    </sheetView>
  </sheetViews>
  <sheetFormatPr defaultRowHeight="15"/>
  <cols>
    <col min="1" max="1" width="5.7109375" style="18" customWidth="1"/>
    <col min="2" max="2" width="22.42578125" style="18" customWidth="1"/>
    <col min="3" max="12" width="8.85546875" style="18" customWidth="1"/>
    <col min="13" max="13" width="4.140625" style="18" customWidth="1"/>
    <col min="14" max="14" width="9.28515625" style="18" customWidth="1"/>
    <col min="15" max="15" width="5.7109375" style="18" customWidth="1"/>
    <col min="16" max="1024" width="15.28515625" style="18" customWidth="1"/>
  </cols>
  <sheetData>
    <row r="1" spans="1:15" ht="20.85" customHeight="1">
      <c r="A1" s="17" t="s">
        <v>35</v>
      </c>
    </row>
    <row r="2" spans="1:15" ht="15.75" customHeight="1">
      <c r="A2" s="27"/>
      <c r="B2" s="28" t="s">
        <v>36</v>
      </c>
      <c r="C2" s="29" t="s">
        <v>37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159.75" customHeight="1">
      <c r="A3" s="27"/>
      <c r="B3" s="28"/>
      <c r="C3" s="19" t="s">
        <v>38</v>
      </c>
      <c r="D3" s="19" t="s">
        <v>39</v>
      </c>
      <c r="E3" s="19" t="s">
        <v>40</v>
      </c>
      <c r="F3" s="19" t="s">
        <v>41</v>
      </c>
      <c r="G3" s="19" t="s">
        <v>42</v>
      </c>
      <c r="H3" s="19" t="s">
        <v>43</v>
      </c>
      <c r="I3" s="19" t="s">
        <v>44</v>
      </c>
      <c r="J3" s="19" t="s">
        <v>45</v>
      </c>
      <c r="K3" s="19" t="s">
        <v>46</v>
      </c>
      <c r="L3" s="19" t="s">
        <v>11</v>
      </c>
      <c r="M3" s="20"/>
      <c r="N3" s="19" t="s">
        <v>47</v>
      </c>
      <c r="O3" s="19" t="s">
        <v>48</v>
      </c>
    </row>
    <row r="4" spans="1:15" ht="11.1" customHeight="1">
      <c r="A4" s="21">
        <v>1</v>
      </c>
      <c r="B4" s="22" t="s">
        <v>49</v>
      </c>
      <c r="C4" s="20">
        <v>9</v>
      </c>
      <c r="D4" s="20">
        <v>2</v>
      </c>
      <c r="E4" s="20">
        <v>4</v>
      </c>
      <c r="F4" s="20">
        <v>4</v>
      </c>
      <c r="G4" s="20"/>
      <c r="H4" s="20"/>
      <c r="I4" s="20">
        <v>1</v>
      </c>
      <c r="J4" s="20">
        <v>1</v>
      </c>
      <c r="K4" s="20"/>
      <c r="L4" s="20">
        <v>1</v>
      </c>
      <c r="M4" s="20"/>
      <c r="N4" s="20">
        <v>1</v>
      </c>
      <c r="O4" s="20">
        <f>SUM(C4:N4)</f>
        <v>23</v>
      </c>
    </row>
    <row r="5" spans="1:15">
      <c r="A5" s="23"/>
      <c r="B5" s="24"/>
      <c r="C5" s="20">
        <f t="shared" ref="C5:O5" si="0">SUM(C4:C4)</f>
        <v>9</v>
      </c>
      <c r="D5" s="20">
        <f t="shared" si="0"/>
        <v>2</v>
      </c>
      <c r="E5" s="20">
        <f t="shared" si="0"/>
        <v>4</v>
      </c>
      <c r="F5" s="20">
        <f t="shared" si="0"/>
        <v>4</v>
      </c>
      <c r="G5" s="20">
        <f t="shared" si="0"/>
        <v>0</v>
      </c>
      <c r="H5" s="20">
        <f t="shared" si="0"/>
        <v>0</v>
      </c>
      <c r="I5" s="20">
        <f t="shared" si="0"/>
        <v>1</v>
      </c>
      <c r="J5" s="20">
        <f t="shared" si="0"/>
        <v>1</v>
      </c>
      <c r="K5" s="20">
        <f t="shared" si="0"/>
        <v>0</v>
      </c>
      <c r="L5" s="20">
        <f t="shared" si="0"/>
        <v>1</v>
      </c>
      <c r="M5" s="20">
        <f t="shared" si="0"/>
        <v>0</v>
      </c>
      <c r="N5" s="20">
        <f t="shared" si="0"/>
        <v>1</v>
      </c>
      <c r="O5" s="20">
        <f t="shared" si="0"/>
        <v>23</v>
      </c>
    </row>
    <row r="6" spans="1:15" ht="21.75" customHeight="1">
      <c r="A6" s="17" t="s">
        <v>50</v>
      </c>
    </row>
    <row r="7" spans="1:15" ht="15.75" customHeight="1">
      <c r="A7" s="27"/>
      <c r="B7" s="28" t="s">
        <v>36</v>
      </c>
      <c r="C7" s="29" t="s">
        <v>37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34.25" customHeight="1">
      <c r="A8" s="27"/>
      <c r="B8" s="28"/>
      <c r="C8" s="19" t="s">
        <v>38</v>
      </c>
      <c r="D8" s="19" t="s">
        <v>39</v>
      </c>
      <c r="E8" s="19" t="s">
        <v>40</v>
      </c>
      <c r="F8" s="19" t="s">
        <v>41</v>
      </c>
      <c r="G8" s="19" t="s">
        <v>42</v>
      </c>
      <c r="H8" s="19" t="s">
        <v>43</v>
      </c>
      <c r="I8" s="19" t="s">
        <v>44</v>
      </c>
      <c r="J8" s="19" t="s">
        <v>45</v>
      </c>
      <c r="K8" s="19" t="s">
        <v>46</v>
      </c>
      <c r="L8" s="19" t="s">
        <v>11</v>
      </c>
      <c r="M8" s="20"/>
      <c r="N8" s="19" t="s">
        <v>47</v>
      </c>
      <c r="O8" s="19" t="s">
        <v>48</v>
      </c>
    </row>
    <row r="9" spans="1:15" ht="13.35" customHeight="1">
      <c r="A9" s="21">
        <v>1</v>
      </c>
      <c r="B9" s="22" t="s">
        <v>49</v>
      </c>
      <c r="C9" s="20">
        <v>48.79</v>
      </c>
      <c r="D9" s="20">
        <v>9.0399999999999991</v>
      </c>
      <c r="E9" s="20">
        <v>21.69</v>
      </c>
      <c r="F9" s="20">
        <v>8.1300000000000008</v>
      </c>
      <c r="G9" s="20"/>
      <c r="H9" s="20"/>
      <c r="I9" s="20">
        <v>5.42</v>
      </c>
      <c r="J9" s="20">
        <v>21.69</v>
      </c>
      <c r="K9" s="20"/>
      <c r="L9" s="20">
        <v>9.49</v>
      </c>
      <c r="M9" s="20"/>
      <c r="N9" s="20">
        <v>4.5199999999999996</v>
      </c>
      <c r="O9" s="20">
        <f>SUM(C9:N9)</f>
        <v>128.76999999999998</v>
      </c>
    </row>
    <row r="10" spans="1:15" ht="26.25" customHeight="1">
      <c r="A10" s="23"/>
      <c r="B10" s="24"/>
      <c r="C10" s="20">
        <f t="shared" ref="C10:N10" si="1">SUM(C9:C9)</f>
        <v>48.79</v>
      </c>
      <c r="D10" s="20">
        <f t="shared" si="1"/>
        <v>9.0399999999999991</v>
      </c>
      <c r="E10" s="20">
        <f t="shared" si="1"/>
        <v>21.69</v>
      </c>
      <c r="F10" s="20">
        <f t="shared" si="1"/>
        <v>8.1300000000000008</v>
      </c>
      <c r="G10" s="20">
        <f t="shared" si="1"/>
        <v>0</v>
      </c>
      <c r="H10" s="20">
        <f t="shared" si="1"/>
        <v>0</v>
      </c>
      <c r="I10" s="20">
        <f t="shared" si="1"/>
        <v>5.42</v>
      </c>
      <c r="J10" s="20">
        <f t="shared" si="1"/>
        <v>21.69</v>
      </c>
      <c r="K10" s="20">
        <f t="shared" si="1"/>
        <v>0</v>
      </c>
      <c r="L10" s="20">
        <f t="shared" si="1"/>
        <v>9.49</v>
      </c>
      <c r="M10" s="20">
        <f t="shared" si="1"/>
        <v>0</v>
      </c>
      <c r="N10" s="20">
        <f t="shared" si="1"/>
        <v>4.5199999999999996</v>
      </c>
      <c r="O10" s="20">
        <f>SUM(C10:N10)</f>
        <v>128.76999999999998</v>
      </c>
    </row>
    <row r="15" spans="1:15" ht="15.75" customHeight="1"/>
    <row r="16" spans="1:15" ht="15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6" ht="15.75" customHeight="1"/>
  </sheetData>
  <mergeCells count="6">
    <mergeCell ref="A2:A3"/>
    <mergeCell ref="B2:B3"/>
    <mergeCell ref="C2:O2"/>
    <mergeCell ref="A7:A8"/>
    <mergeCell ref="B7:B8"/>
    <mergeCell ref="C7:O7"/>
  </mergeCells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бесплатники</vt:lpstr>
      <vt:lpstr>частичники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2026-04-30T12:18:49Z</cp:lastPrinted>
  <dcterms:created xsi:type="dcterms:W3CDTF">2026-02-27T07:11:44Z</dcterms:created>
  <dcterms:modified xsi:type="dcterms:W3CDTF">2026-04-30T12:19:01Z</dcterms:modified>
</cp:coreProperties>
</file>